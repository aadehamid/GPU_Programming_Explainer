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https://aibyhand-my.sharepoint.com/personal/tom_aibyhand_onmicrosoft_com/Documents/2025/Talks/2025.10.30 - GPU by Hand @ Together AI/"/>
    </mc:Choice>
  </mc:AlternateContent>
  <xr:revisionPtr revIDLastSave="3594" documentId="8_{CDC9EFB8-0217-6748-A2EB-6AF8C8696091}" xr6:coauthVersionLast="47" xr6:coauthVersionMax="47" xr10:uidLastSave="{7EE19F99-D23E-5E47-8380-C498A5D42021}"/>
  <bookViews>
    <workbookView xWindow="2560" yWindow="780" windowWidth="30440" windowHeight="21360" xr2:uid="{BC48A632-7AFD-4940-B483-CB3E15031234}"/>
  </bookViews>
  <sheets>
    <sheet name="GPU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5" i="6" l="1" a="1"/>
  <c r="D455" i="6" s="1"/>
  <c r="I268" i="6" a="1"/>
  <c r="I268" i="6" s="1"/>
  <c r="J263" i="6" a="1"/>
  <c r="J263" i="6" s="1"/>
  <c r="I239" i="6" a="1"/>
  <c r="J234" i="6" a="1"/>
  <c r="J234" i="6" s="1"/>
  <c r="J198" i="6"/>
  <c r="K198" i="6"/>
  <c r="K197" i="6"/>
  <c r="J197" i="6"/>
  <c r="K195" i="6"/>
  <c r="J195" i="6"/>
  <c r="K194" i="6"/>
  <c r="J194" i="6"/>
  <c r="K192" i="6"/>
  <c r="J192" i="6"/>
  <c r="K191" i="6"/>
  <c r="J191" i="6"/>
  <c r="N198" i="6"/>
  <c r="N197" i="6"/>
  <c r="N195" i="6"/>
  <c r="N194" i="6"/>
  <c r="N192" i="6"/>
  <c r="N191" i="6"/>
  <c r="O186" i="6" a="1"/>
  <c r="L186" i="6" a="1"/>
  <c r="I186" i="6" a="1"/>
  <c r="F186" i="6" a="1"/>
  <c r="J181" i="6" a="1"/>
  <c r="J181" i="6" s="1"/>
  <c r="J110" i="6" a="1"/>
  <c r="J110" i="6" s="1"/>
  <c r="O140" i="6" a="1"/>
  <c r="O140" i="6" s="1"/>
  <c r="L140" i="6" a="1"/>
  <c r="L140" i="6" s="1"/>
  <c r="I140" i="6" a="1"/>
  <c r="I140" i="6" s="1"/>
  <c r="L150" i="6"/>
  <c r="F140" i="6" a="1"/>
  <c r="I239" i="6" l="1"/>
  <c r="J193" i="6"/>
  <c r="L193" i="6"/>
  <c r="L196" i="6" s="1"/>
  <c r="L199" i="6" s="1"/>
  <c r="K193" i="6"/>
  <c r="K196" i="6" s="1"/>
  <c r="K199" i="6" s="1"/>
  <c r="O186" i="6"/>
  <c r="H192" i="6" s="1"/>
  <c r="H198" i="6"/>
  <c r="H195" i="6"/>
  <c r="G198" i="6"/>
  <c r="G195" i="6"/>
  <c r="L186" i="6"/>
  <c r="G192" i="6" s="1"/>
  <c r="F198" i="6"/>
  <c r="F195" i="6"/>
  <c r="I186" i="6"/>
  <c r="F192" i="6" s="1"/>
  <c r="H197" i="6"/>
  <c r="G197" i="6"/>
  <c r="F197" i="6"/>
  <c r="H194" i="6"/>
  <c r="G194" i="6"/>
  <c r="F194" i="6"/>
  <c r="F186" i="6"/>
  <c r="J196" i="6"/>
  <c r="J199" i="6" s="1"/>
  <c r="O151" i="6"/>
  <c r="O148" i="6"/>
  <c r="O145" i="6"/>
  <c r="L151" i="6"/>
  <c r="L148" i="6"/>
  <c r="L145" i="6"/>
  <c r="I151" i="6"/>
  <c r="I145" i="6"/>
  <c r="I148" i="6"/>
  <c r="O150" i="6"/>
  <c r="F140" i="6"/>
  <c r="I150" i="6"/>
  <c r="O147" i="6"/>
  <c r="L147" i="6"/>
  <c r="I147" i="6"/>
  <c r="D459" i="6" a="1"/>
  <c r="AF429" i="6" a="1"/>
  <c r="AF429" i="6" s="1"/>
  <c r="P429" i="6" a="1"/>
  <c r="P429" i="6" s="1"/>
  <c r="AF428" i="6" a="1"/>
  <c r="AF428" i="6" s="1"/>
  <c r="P428" i="6" a="1"/>
  <c r="P428" i="6" s="1"/>
  <c r="AF427" i="6" a="1"/>
  <c r="AF427" i="6" s="1"/>
  <c r="P427" i="6" a="1"/>
  <c r="P427" i="6" s="1"/>
  <c r="AF426" i="6" a="1"/>
  <c r="AF426" i="6" s="1"/>
  <c r="P426" i="6" a="1"/>
  <c r="P426" i="6" s="1"/>
  <c r="I400" i="6" a="1"/>
  <c r="I400" i="6" s="1"/>
  <c r="I399" i="6" a="1"/>
  <c r="I399" i="6" s="1"/>
  <c r="I398" i="6" a="1"/>
  <c r="I398" i="6" s="1"/>
  <c r="I397" i="6" a="1"/>
  <c r="I397" i="6" s="1"/>
  <c r="I396" i="6" a="1"/>
  <c r="I396" i="6" s="1"/>
  <c r="I395" i="6" a="1"/>
  <c r="I395" i="6" s="1"/>
  <c r="I394" i="6" a="1"/>
  <c r="I394" i="6" s="1"/>
  <c r="I393" i="6" a="1"/>
  <c r="I393" i="6" s="1"/>
  <c r="AB376" i="6" a="1"/>
  <c r="AB376" i="6" s="1"/>
  <c r="L375" i="6" a="1"/>
  <c r="L375" i="6" s="1"/>
  <c r="AF369" i="6" a="1"/>
  <c r="AF369" i="6" s="1"/>
  <c r="P369" i="6" a="1"/>
  <c r="P369" i="6" s="1"/>
  <c r="AF368" i="6" a="1"/>
  <c r="AF368" i="6" s="1"/>
  <c r="P368" i="6" a="1"/>
  <c r="P368" i="6" s="1"/>
  <c r="AF367" i="6" a="1"/>
  <c r="AF367" i="6" s="1"/>
  <c r="P367" i="6" a="1"/>
  <c r="P367" i="6" s="1"/>
  <c r="AF366" i="6" a="1"/>
  <c r="AF366" i="6" s="1"/>
  <c r="P366" i="6" a="1"/>
  <c r="P366" i="6" s="1"/>
  <c r="M344" i="6" a="1"/>
  <c r="M344" i="6" s="1"/>
  <c r="M343" i="6" a="1"/>
  <c r="M343" i="6" s="1"/>
  <c r="M342" i="6" a="1"/>
  <c r="M342" i="6" s="1"/>
  <c r="M341" i="6" a="1"/>
  <c r="M341" i="6" s="1"/>
  <c r="M340" i="6" a="1"/>
  <c r="M340" i="6" s="1"/>
  <c r="M339" i="6" a="1"/>
  <c r="M339" i="6" s="1"/>
  <c r="M338" i="6" a="1"/>
  <c r="M338" i="6" s="1"/>
  <c r="M337" i="6" a="1"/>
  <c r="M337" i="6" s="1"/>
  <c r="T331" i="6" a="1"/>
  <c r="T331" i="6" s="1"/>
  <c r="N325" i="6" a="1"/>
  <c r="N325" i="6" s="1"/>
  <c r="N324" i="6" a="1"/>
  <c r="N324" i="6" s="1"/>
  <c r="N323" i="6" a="1"/>
  <c r="N323" i="6" s="1"/>
  <c r="N322" i="6" a="1"/>
  <c r="N322" i="6" s="1"/>
  <c r="N318" i="6" a="1"/>
  <c r="N318" i="6" s="1"/>
  <c r="N317" i="6" a="1"/>
  <c r="N317" i="6" s="1"/>
  <c r="N316" i="6" a="1"/>
  <c r="N316" i="6" s="1"/>
  <c r="N315" i="6" a="1"/>
  <c r="N315" i="6" s="1"/>
  <c r="F268" i="6" a="1"/>
  <c r="AD279" i="6" s="1"/>
  <c r="F239" i="6" a="1"/>
  <c r="A205" i="6" a="1"/>
  <c r="A205" i="6" s="1"/>
  <c r="J136" i="6" a="1"/>
  <c r="J136" i="6" s="1"/>
  <c r="I114" i="6" a="1"/>
  <c r="F114" i="6" a="1"/>
  <c r="L54" i="6" a="1"/>
  <c r="L54" i="6" s="1"/>
  <c r="Y60" i="6" s="1" a="1"/>
  <c r="Y60" i="6" s="1"/>
  <c r="F191" i="6" l="1"/>
  <c r="F193" i="6" s="1"/>
  <c r="F196" i="6" s="1"/>
  <c r="G191" i="6"/>
  <c r="G193" i="6" s="1"/>
  <c r="G196" i="6" s="1"/>
  <c r="H191" i="6"/>
  <c r="H193" i="6" s="1"/>
  <c r="H196" i="6" s="1"/>
  <c r="H199" i="6"/>
  <c r="G199" i="6"/>
  <c r="F199" i="6"/>
  <c r="F114" i="6"/>
  <c r="I144" i="6"/>
  <c r="I146" i="6" s="1"/>
  <c r="I149" i="6" s="1"/>
  <c r="I152" i="6" s="1"/>
  <c r="R140" i="6" s="1"/>
  <c r="O144" i="6"/>
  <c r="O146" i="6" s="1"/>
  <c r="O149" i="6" s="1"/>
  <c r="O152" i="6" s="1"/>
  <c r="T140" i="6" s="1"/>
  <c r="L144" i="6"/>
  <c r="L146" i="6" s="1"/>
  <c r="L149" i="6" s="1"/>
  <c r="L152" i="6" s="1"/>
  <c r="S140" i="6" s="1"/>
  <c r="I114" i="6"/>
  <c r="AI426" i="6" a="1"/>
  <c r="AI426" i="6" s="1"/>
  <c r="K463" i="6" s="1" a="1"/>
  <c r="I121" i="6"/>
  <c r="I124" i="6"/>
  <c r="D459" i="6"/>
  <c r="I459" i="6" s="1" a="1"/>
  <c r="I459" i="6" s="1"/>
  <c r="I462" i="6" a="1"/>
  <c r="I462" i="6" s="1"/>
  <c r="I461" i="6" a="1"/>
  <c r="I461" i="6" s="1"/>
  <c r="I460" i="6" a="1"/>
  <c r="I460" i="6" s="1"/>
  <c r="AY276" i="6"/>
  <c r="Y48" i="6" a="1"/>
  <c r="AS279" i="6"/>
  <c r="AJ276" i="6"/>
  <c r="AM279" i="6"/>
  <c r="L376" i="6" a="1"/>
  <c r="L376" i="6" s="1"/>
  <c r="I125" i="6"/>
  <c r="AV276" i="6"/>
  <c r="AP279" i="6"/>
  <c r="I279" i="6"/>
  <c r="AV279" i="6"/>
  <c r="X276" i="6"/>
  <c r="R279" i="6"/>
  <c r="AA276" i="6"/>
  <c r="U279" i="6"/>
  <c r="L374" i="6" a="1"/>
  <c r="L374" i="6" s="1"/>
  <c r="AB373" i="6" a="1"/>
  <c r="AB373" i="6" s="1"/>
  <c r="AD276" i="6"/>
  <c r="AG279" i="6"/>
  <c r="R276" i="6"/>
  <c r="L279" i="6"/>
  <c r="AY279" i="6"/>
  <c r="U276" i="6"/>
  <c r="O279" i="6"/>
  <c r="I247" i="6"/>
  <c r="AG276" i="6"/>
  <c r="AJ279" i="6"/>
  <c r="AB374" i="6" a="1"/>
  <c r="AB374" i="6" s="1"/>
  <c r="I119" i="6"/>
  <c r="O345" i="6" a="1"/>
  <c r="O345" i="6" s="1"/>
  <c r="L247" i="6"/>
  <c r="I122" i="6"/>
  <c r="F239" i="6"/>
  <c r="O247" i="6"/>
  <c r="L250" i="6"/>
  <c r="I250" i="6"/>
  <c r="O250" i="6"/>
  <c r="V52" i="6" a="1"/>
  <c r="K401" i="6" a="1"/>
  <c r="K401" i="6" s="1"/>
  <c r="AB375" i="6" a="1"/>
  <c r="AB375" i="6" s="1"/>
  <c r="I276" i="6"/>
  <c r="AM276" i="6"/>
  <c r="X279" i="6"/>
  <c r="L373" i="6" a="1"/>
  <c r="L373" i="6" s="1"/>
  <c r="L276" i="6"/>
  <c r="AP276" i="6"/>
  <c r="AA279" i="6"/>
  <c r="F268" i="6"/>
  <c r="O276" i="6"/>
  <c r="AS276" i="6"/>
  <c r="I118" i="6" l="1"/>
  <c r="I120" i="6" s="1"/>
  <c r="I123" i="6" s="1"/>
  <c r="I126" i="6" s="1"/>
  <c r="R114" i="6" s="1"/>
  <c r="Y48" i="6"/>
  <c r="K463" i="6"/>
  <c r="K499" i="6" a="1"/>
  <c r="K499" i="6" s="1"/>
  <c r="D491" i="6" a="1"/>
  <c r="I457" i="6" a="1"/>
  <c r="I457" i="6" s="1"/>
  <c r="I458" i="6" a="1"/>
  <c r="I458" i="6" s="1"/>
  <c r="I456" i="6" a="1"/>
  <c r="I456" i="6" s="1"/>
  <c r="V52" i="6"/>
  <c r="Y52" i="6" s="1" a="1"/>
  <c r="AD273" i="6"/>
  <c r="AA273" i="6"/>
  <c r="X273" i="6"/>
  <c r="AG273" i="6"/>
  <c r="AM273" i="6"/>
  <c r="O273" i="6"/>
  <c r="L273" i="6"/>
  <c r="AY273" i="6"/>
  <c r="AJ273" i="6"/>
  <c r="I273" i="6"/>
  <c r="U273" i="6"/>
  <c r="AP273" i="6"/>
  <c r="R273" i="6"/>
  <c r="AV273" i="6"/>
  <c r="AS273" i="6"/>
  <c r="L244" i="6"/>
  <c r="I244" i="6"/>
  <c r="O244" i="6"/>
  <c r="AF444" i="6" a="1"/>
  <c r="AF444" i="6" s="1"/>
  <c r="AF442" i="6" a="1"/>
  <c r="AF442" i="6" s="1"/>
  <c r="AF443" i="6" a="1"/>
  <c r="AF443" i="6" s="1"/>
  <c r="AF441" i="6" a="1"/>
  <c r="AF441" i="6" s="1"/>
  <c r="L274" i="6" l="1"/>
  <c r="L275" i="6" s="1"/>
  <c r="L251" i="6"/>
  <c r="L245" i="6"/>
  <c r="L246" i="6" s="1"/>
  <c r="O245" i="6"/>
  <c r="O246" i="6" s="1"/>
  <c r="I251" i="6"/>
  <c r="O248" i="6"/>
  <c r="I245" i="6"/>
  <c r="I246" i="6" s="1"/>
  <c r="I248" i="6"/>
  <c r="O251" i="6"/>
  <c r="L248" i="6"/>
  <c r="D491" i="6"/>
  <c r="I492" i="6" a="1"/>
  <c r="I492" i="6" s="1"/>
  <c r="I496" i="6" a="1"/>
  <c r="I496" i="6" s="1"/>
  <c r="I498" i="6" a="1"/>
  <c r="I498" i="6" s="1"/>
  <c r="I497" i="6" a="1"/>
  <c r="I497" i="6" s="1"/>
  <c r="I493" i="6" a="1"/>
  <c r="I493" i="6" s="1"/>
  <c r="I494" i="6" a="1"/>
  <c r="I494" i="6" s="1"/>
  <c r="I495" i="6" a="1"/>
  <c r="I495" i="6" s="1"/>
  <c r="AF380" i="6" a="1"/>
  <c r="AF380" i="6" s="1"/>
  <c r="AF381" i="6" a="1"/>
  <c r="AF381" i="6" s="1"/>
  <c r="AF383" i="6" a="1"/>
  <c r="AF383" i="6" s="1"/>
  <c r="AF382" i="6" a="1"/>
  <c r="AF382" i="6" s="1"/>
  <c r="I455" i="6" a="1"/>
  <c r="I455" i="6" s="1"/>
  <c r="AA280" i="6"/>
  <c r="R277" i="6"/>
  <c r="AP277" i="6"/>
  <c r="AV277" i="6"/>
  <c r="O274" i="6"/>
  <c r="O275" i="6" s="1"/>
  <c r="AJ277" i="6"/>
  <c r="AV280" i="6"/>
  <c r="AG277" i="6"/>
  <c r="I277" i="6"/>
  <c r="L280" i="6"/>
  <c r="R280" i="6"/>
  <c r="AY274" i="6"/>
  <c r="AY275" i="6" s="1"/>
  <c r="AP280" i="6"/>
  <c r="U274" i="6"/>
  <c r="U275" i="6" s="1"/>
  <c r="AG280" i="6"/>
  <c r="R274" i="6"/>
  <c r="R275" i="6" s="1"/>
  <c r="AP274" i="6"/>
  <c r="AP275" i="6" s="1"/>
  <c r="X274" i="6"/>
  <c r="X275" i="6" s="1"/>
  <c r="AG274" i="6"/>
  <c r="AG275" i="6" s="1"/>
  <c r="AV274" i="6"/>
  <c r="AV275" i="6" s="1"/>
  <c r="AA277" i="6"/>
  <c r="AD274" i="6"/>
  <c r="AD275" i="6" s="1"/>
  <c r="AM274" i="6"/>
  <c r="AM275" i="6" s="1"/>
  <c r="I274" i="6"/>
  <c r="I275" i="6" s="1"/>
  <c r="AM277" i="6"/>
  <c r="AA274" i="6"/>
  <c r="AA275" i="6" s="1"/>
  <c r="X277" i="6"/>
  <c r="AD277" i="6"/>
  <c r="U280" i="6"/>
  <c r="AY280" i="6"/>
  <c r="AJ280" i="6"/>
  <c r="I280" i="6"/>
  <c r="O280" i="6"/>
  <c r="L277" i="6"/>
  <c r="AD280" i="6"/>
  <c r="AS274" i="6"/>
  <c r="AS275" i="6" s="1"/>
  <c r="AY277" i="6"/>
  <c r="O277" i="6"/>
  <c r="AJ274" i="6"/>
  <c r="AJ275" i="6" s="1"/>
  <c r="AM280" i="6"/>
  <c r="AS280" i="6"/>
  <c r="X280" i="6"/>
  <c r="U277" i="6"/>
  <c r="AS277" i="6"/>
  <c r="Y52" i="6"/>
  <c r="AE52" i="6" s="1" a="1"/>
  <c r="AE52" i="6" s="1"/>
  <c r="AI52" i="6" a="1"/>
  <c r="AI52" i="6" s="1"/>
  <c r="AH52" i="6" a="1"/>
  <c r="AH52" i="6" s="1"/>
  <c r="AG52" i="6" a="1"/>
  <c r="AG52" i="6" s="1"/>
  <c r="AF52" i="6" a="1"/>
  <c r="AF52" i="6" s="1"/>
  <c r="P382" i="6" a="1"/>
  <c r="P382" i="6" s="1"/>
  <c r="P380" i="6" a="1"/>
  <c r="P380" i="6" s="1"/>
  <c r="P383" i="6" a="1"/>
  <c r="P383" i="6" s="1"/>
  <c r="P381" i="6" a="1"/>
  <c r="P381" i="6" s="1"/>
  <c r="P442" i="6" a="1"/>
  <c r="P442" i="6" s="1"/>
  <c r="P444" i="6" a="1"/>
  <c r="P444" i="6" s="1"/>
  <c r="P441" i="6" a="1"/>
  <c r="P441" i="6" s="1"/>
  <c r="P443" i="6" a="1"/>
  <c r="P443" i="6" s="1"/>
  <c r="M348" i="6" a="1"/>
  <c r="M348" i="6" s="1"/>
  <c r="M346" i="6" a="1"/>
  <c r="M346" i="6" s="1"/>
  <c r="M345" i="6" a="1"/>
  <c r="M345" i="6" s="1"/>
  <c r="M347" i="6" a="1"/>
  <c r="M347" i="6" s="1"/>
  <c r="I404" i="6" a="1"/>
  <c r="I404" i="6" s="1"/>
  <c r="I403" i="6" a="1"/>
  <c r="I403" i="6" s="1"/>
  <c r="I401" i="6" a="1"/>
  <c r="I401" i="6" s="1"/>
  <c r="I402" i="6" a="1"/>
  <c r="I402" i="6" s="1"/>
  <c r="L249" i="6" l="1"/>
  <c r="L252" i="6" s="1"/>
  <c r="O249" i="6"/>
  <c r="O252" i="6" s="1"/>
  <c r="I249" i="6"/>
  <c r="I252" i="6" s="1"/>
  <c r="I491" i="6" a="1"/>
  <c r="I491" i="6" s="1"/>
  <c r="AV278" i="6"/>
  <c r="AV281" i="6" s="1"/>
  <c r="AP278" i="6"/>
  <c r="AP281" i="6" s="1"/>
  <c r="R278" i="6"/>
  <c r="R281" i="6" s="1"/>
  <c r="AM278" i="6"/>
  <c r="AM281" i="6" s="1"/>
  <c r="AJ278" i="6"/>
  <c r="AJ281" i="6" s="1"/>
  <c r="I278" i="6"/>
  <c r="I281" i="6" s="1"/>
  <c r="AS278" i="6"/>
  <c r="AS281" i="6" s="1"/>
  <c r="AD278" i="6"/>
  <c r="AD281" i="6" s="1"/>
  <c r="U278" i="6"/>
  <c r="U281" i="6" s="1"/>
  <c r="L278" i="6"/>
  <c r="L281" i="6" s="1"/>
  <c r="AG278" i="6"/>
  <c r="AG281" i="6" s="1"/>
  <c r="X278" i="6"/>
  <c r="X281" i="6" s="1"/>
  <c r="O278" i="6"/>
  <c r="O281" i="6" s="1"/>
  <c r="AY278" i="6"/>
  <c r="AY281" i="6" s="1"/>
  <c r="AA278" i="6"/>
  <c r="AA281" i="6" s="1"/>
  <c r="I463" i="6" l="1" a="1"/>
  <c r="I463" i="6" s="1"/>
  <c r="BB281" i="6"/>
  <c r="I499" i="6" l="1" a="1"/>
  <c r="I499" i="6" s="1"/>
  <c r="I466" i="6" a="1"/>
  <c r="I466" i="6" s="1"/>
  <c r="I464" i="6" a="1"/>
  <c r="I464" i="6" s="1"/>
  <c r="I502" i="6" a="1"/>
  <c r="I502" i="6" s="1"/>
  <c r="I501" i="6" a="1"/>
  <c r="I501" i="6" s="1"/>
  <c r="I500" i="6" a="1"/>
  <c r="I500" i="6" s="1"/>
  <c r="I465" i="6" a="1"/>
  <c r="I465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<sst xmlns="http://schemas.openxmlformats.org/spreadsheetml/2006/main" count="605" uniqueCount="173">
  <si>
    <t>*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</si>
  <si>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</si>
  <si>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</si>
  <si>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</si>
  <si>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</si>
  <si>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</si>
  <si>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</si>
  <si>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</si>
  <si>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</si>
  <si>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</si>
  <si>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</si>
  <si>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</si>
  <si>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</si>
  <si>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</si>
  <si>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</si>
  <si>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W1</t>
  </si>
  <si>
    <t>B1</t>
  </si>
  <si>
    <t>W2</t>
  </si>
  <si>
    <t>W4</t>
  </si>
  <si>
    <t>W3</t>
  </si>
  <si>
    <t>W0</t>
  </si>
  <si>
    <t>C0</t>
  </si>
  <si>
    <t>C1</t>
  </si>
  <si>
    <t>C2</t>
  </si>
  <si>
    <t>C3</t>
  </si>
  <si>
    <t>Memory</t>
  </si>
  <si>
    <t>A[0]</t>
  </si>
  <si>
    <t>A[1]</t>
  </si>
  <si>
    <t>A[2]</t>
  </si>
  <si>
    <t>C</t>
  </si>
  <si>
    <t>Read</t>
  </si>
  <si>
    <t>A</t>
  </si>
  <si>
    <t>B</t>
  </si>
  <si>
    <t>B2</t>
  </si>
  <si>
    <t>B3</t>
  </si>
  <si>
    <t>T0</t>
  </si>
  <si>
    <t>B[1]</t>
  </si>
  <si>
    <t>B[2]</t>
  </si>
  <si>
    <t>Multi-thread Matrix Multiplication</t>
  </si>
  <si>
    <t>p</t>
  </si>
  <si>
    <t>q</t>
  </si>
  <si>
    <t>+= p*q</t>
  </si>
  <si>
    <t>s</t>
  </si>
  <si>
    <t>REG</t>
  </si>
  <si>
    <t>Bi[0]</t>
  </si>
  <si>
    <t>Single-thread Matrix Multiplication</t>
  </si>
  <si>
    <t>}</t>
  </si>
  <si>
    <t>for (int j = 0; j &lt; VECTOR_SIZE; ++j) {</t>
  </si>
  <si>
    <t>float s = 0.0f;</t>
  </si>
  <si>
    <t>C[tid] = s;</t>
  </si>
  <si>
    <t>if (tid &lt; NUM_VECTORS) {</t>
  </si>
  <si>
    <r>
      <t xml:space="preserve">__global__ </t>
    </r>
    <r>
      <rPr>
        <sz val="12"/>
        <color rgb="FF7030A0"/>
        <rFont val="Courier New"/>
        <family val="1"/>
      </rPr>
      <t>void</t>
    </r>
    <r>
      <rPr>
        <sz val="12"/>
        <color theme="1"/>
        <rFont val="Courier New"/>
        <family val="1"/>
      </rPr>
      <t xml:space="preserve"> </t>
    </r>
    <r>
      <rPr>
        <sz val="12"/>
        <color rgb="FF0070C0"/>
        <rFont val="Courier New"/>
        <family val="1"/>
      </rPr>
      <t>matMultKernel</t>
    </r>
    <r>
      <rPr>
        <sz val="12"/>
        <color theme="1"/>
        <rFont val="Courier New"/>
        <family val="1"/>
      </rPr>
      <t>(</t>
    </r>
    <r>
      <rPr>
        <sz val="12"/>
        <color rgb="FF7030A0"/>
        <rFont val="Courier New"/>
        <family val="1"/>
      </rPr>
      <t>const</t>
    </r>
    <r>
      <rPr>
        <sz val="12"/>
        <color theme="1"/>
        <rFont val="Courier New"/>
        <family val="1"/>
      </rPr>
      <t xml:space="preserve"> </t>
    </r>
    <r>
      <rPr>
        <sz val="12"/>
        <color rgb="FF7030A0"/>
        <rFont val="Courier New"/>
        <family val="1"/>
      </rPr>
      <t>float</t>
    </r>
    <r>
      <rPr>
        <sz val="12"/>
        <color theme="1"/>
        <rFont val="Courier New"/>
        <family val="1"/>
      </rPr>
      <t xml:space="preserve"> *A, </t>
    </r>
    <r>
      <rPr>
        <sz val="12"/>
        <color rgb="FF7030A0"/>
        <rFont val="Courier New"/>
        <family val="1"/>
      </rPr>
      <t>const</t>
    </r>
    <r>
      <rPr>
        <sz val="12"/>
        <color theme="1"/>
        <rFont val="Courier New"/>
        <family val="1"/>
      </rPr>
      <t xml:space="preserve"> </t>
    </r>
    <r>
      <rPr>
        <sz val="12"/>
        <color rgb="FF7030A0"/>
        <rFont val="Courier New"/>
        <family val="1"/>
      </rPr>
      <t>float</t>
    </r>
    <r>
      <rPr>
        <sz val="12"/>
        <color theme="1"/>
        <rFont val="Courier New"/>
        <family val="1"/>
      </rPr>
      <t xml:space="preserve"> *B, </t>
    </r>
    <r>
      <rPr>
        <sz val="12"/>
        <color rgb="FF7030A0"/>
        <rFont val="Courier New"/>
        <family val="1"/>
      </rPr>
      <t>float</t>
    </r>
    <r>
      <rPr>
        <sz val="12"/>
        <color theme="1"/>
        <rFont val="Courier New"/>
        <family val="1"/>
      </rPr>
      <t xml:space="preserve"> *C) {</t>
    </r>
  </si>
  <si>
    <r>
      <rPr>
        <sz val="12"/>
        <color rgb="FF7030A0"/>
        <rFont val="Courier New"/>
        <family val="1"/>
      </rPr>
      <t>#define</t>
    </r>
    <r>
      <rPr>
        <sz val="12"/>
        <color theme="1"/>
        <rFont val="Courier New"/>
        <family val="1"/>
      </rPr>
      <t xml:space="preserve"> NUM_VECTORS 3</t>
    </r>
  </si>
  <si>
    <r>
      <rPr>
        <sz val="12"/>
        <color rgb="FF7030A0"/>
        <rFont val="Courier New"/>
        <family val="1"/>
      </rPr>
      <t>#include</t>
    </r>
    <r>
      <rPr>
        <sz val="12"/>
        <color theme="1"/>
        <rFont val="Courier New"/>
        <family val="1"/>
      </rPr>
      <t xml:space="preserve"> </t>
    </r>
    <r>
      <rPr>
        <sz val="12"/>
        <color theme="9" tint="-0.249977111117893"/>
        <rFont val="Courier New"/>
        <family val="1"/>
      </rPr>
      <t>&lt;iostream&gt;</t>
    </r>
  </si>
  <si>
    <r>
      <rPr>
        <sz val="12"/>
        <color rgb="FF7030A0"/>
        <rFont val="Courier New"/>
        <family val="1"/>
      </rPr>
      <t>#include</t>
    </r>
    <r>
      <rPr>
        <sz val="12"/>
        <color theme="1"/>
        <rFont val="Courier New"/>
        <family val="1"/>
      </rPr>
      <t xml:space="preserve"> </t>
    </r>
    <r>
      <rPr>
        <sz val="12"/>
        <color theme="9" tint="-0.249977111117893"/>
        <rFont val="Courier New"/>
        <family val="1"/>
      </rPr>
      <t>&lt;cuda_runtime.h&gt;</t>
    </r>
  </si>
  <si>
    <t>Compute Unified Device Architecture (CUDA)</t>
  </si>
  <si>
    <r>
      <rPr>
        <sz val="12"/>
        <color rgb="FF7030A0"/>
        <rFont val="Courier New"/>
        <family val="1"/>
      </rPr>
      <t>int</t>
    </r>
    <r>
      <rPr>
        <sz val="12"/>
        <color theme="1"/>
        <rFont val="Courier New"/>
        <family val="1"/>
      </rPr>
      <t xml:space="preserve"> tid = threadIdx.x;</t>
    </r>
  </si>
  <si>
    <t>Calculate Offsets by Thread IDs</t>
  </si>
  <si>
    <t>tid</t>
  </si>
  <si>
    <t>Dot Product</t>
  </si>
  <si>
    <t xml:space="preserve">Logical </t>
  </si>
  <si>
    <t>Physical</t>
  </si>
  <si>
    <t>X</t>
  </si>
  <si>
    <t>x1</t>
  </si>
  <si>
    <t>x2</t>
  </si>
  <si>
    <t>x3</t>
  </si>
  <si>
    <t>x4</t>
  </si>
  <si>
    <t>x5</t>
  </si>
  <si>
    <t>↓</t>
  </si>
  <si>
    <t>Wq</t>
  </si>
  <si>
    <t>q1</t>
  </si>
  <si>
    <t>q2</t>
  </si>
  <si>
    <t>q3</t>
  </si>
  <si>
    <t>q4</t>
  </si>
  <si>
    <t>q5</t>
  </si>
  <si>
    <t>Q</t>
  </si>
  <si>
    <t>→</t>
  </si>
  <si>
    <t>Wk</t>
  </si>
  <si>
    <t>k1</t>
  </si>
  <si>
    <t>k2</t>
  </si>
  <si>
    <t>k3</t>
  </si>
  <si>
    <t>k4</t>
  </si>
  <si>
    <t>k5</t>
  </si>
  <si>
    <r>
      <t>K</t>
    </r>
    <r>
      <rPr>
        <vertAlign val="superscript"/>
        <sz val="16"/>
        <color theme="1"/>
        <rFont val="Aptos Narrow (Body)"/>
      </rPr>
      <t>T</t>
    </r>
  </si>
  <si>
    <r>
      <t>S = K</t>
    </r>
    <r>
      <rPr>
        <vertAlign val="superscript"/>
        <sz val="16"/>
        <color theme="1"/>
        <rFont val="Aptos Narrow (Body)"/>
      </rPr>
      <t>T</t>
    </r>
    <r>
      <rPr>
        <sz val="16"/>
        <color theme="1"/>
        <rFont val="Aptos Narrow"/>
        <family val="2"/>
        <scheme val="minor"/>
      </rPr>
      <t xml:space="preserve"> • Q/sqrt(dk)</t>
    </r>
  </si>
  <si>
    <t>A = Softmax(S)</t>
  </si>
  <si>
    <t>Wv</t>
  </si>
  <si>
    <t>v1</t>
  </si>
  <si>
    <t>v2</t>
  </si>
  <si>
    <t>v3</t>
  </si>
  <si>
    <t>v4</t>
  </si>
  <si>
    <t>v5</t>
  </si>
  <si>
    <t>X' = V•A</t>
  </si>
  <si>
    <t>V</t>
  </si>
  <si>
    <t>X'</t>
  </si>
  <si>
    <t>x1'</t>
  </si>
  <si>
    <t>x2'</t>
  </si>
  <si>
    <t>x3'</t>
  </si>
  <si>
    <t>x4'</t>
  </si>
  <si>
    <t>x5'</t>
  </si>
  <si>
    <t>Computer Graphic</t>
  </si>
  <si>
    <t>1. Why GPUs?</t>
  </si>
  <si>
    <t>3. How to Schedule Threads on a GPU?</t>
  </si>
  <si>
    <t>2. How to Code Matrix Multiplication on a GPU?</t>
  </si>
  <si>
    <t>B0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</si>
  <si>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</si>
  <si>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</si>
  <si>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</si>
  <si>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</si>
  <si>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</si>
  <si>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</si>
  <si>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</si>
  <si>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</si>
  <si>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</si>
  <si>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</si>
  <si>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</si>
  <si>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Warps</t>
  </si>
  <si>
    <t>Core 1</t>
  </si>
  <si>
    <t>Core 2</t>
  </si>
  <si>
    <t>Core 3</t>
  </si>
  <si>
    <t>Blocks</t>
  </si>
  <si>
    <t>A1</t>
  </si>
  <si>
    <t>A2</t>
  </si>
  <si>
    <t>Block 1</t>
  </si>
  <si>
    <t>Matrix Multiplication is used everywhere</t>
  </si>
  <si>
    <t>INT8</t>
  </si>
  <si>
    <t>DEC8</t>
  </si>
  <si>
    <t>DEC4</t>
  </si>
  <si>
    <t>MXDEC4</t>
  </si>
  <si>
    <t>10^</t>
  </si>
  <si>
    <t>Quantize</t>
  </si>
  <si>
    <t>Dequantize</t>
  </si>
  <si>
    <t>I inevented DEC8 (decimal 8) to illustrate quantize vs dequanitze.</t>
  </si>
  <si>
    <t>BIN2DEC</t>
  </si>
  <si>
    <t>Register P</t>
  </si>
  <si>
    <t>Register Q</t>
  </si>
  <si>
    <t>Cores</t>
  </si>
  <si>
    <t>8 digits</t>
  </si>
  <si>
    <t>Register S</t>
  </si>
  <si>
    <t>Code</t>
  </si>
  <si>
    <t>C = A + B</t>
  </si>
  <si>
    <t>Digits vs Bits</t>
  </si>
  <si>
    <t>(point out carry)</t>
  </si>
  <si>
    <t>Quantize vs Dequantize</t>
  </si>
  <si>
    <t>---&gt;</t>
  </si>
  <si>
    <t>&lt;---</t>
  </si>
  <si>
    <t>(point out precision loss)</t>
  </si>
  <si>
    <t>Mixed Precision Format</t>
  </si>
  <si>
    <t>Chip</t>
  </si>
  <si>
    <t>On-chip Dequantization</t>
  </si>
  <si>
    <t>4. How to Squeeze More Data into the Memory?</t>
  </si>
  <si>
    <t>A + B</t>
  </si>
  <si>
    <t>On-chip Dequantization with MX</t>
  </si>
  <si>
    <t>Code -&gt; Memory -&gt; Cores -&gt; Memory</t>
  </si>
  <si>
    <t>5. How to Preserve Details when Squeezing?</t>
  </si>
  <si>
    <t>Native MX Support on Chip</t>
  </si>
  <si>
    <t>6. How to Improve the GPU Design?</t>
  </si>
  <si>
    <t>x</t>
  </si>
  <si>
    <t>y</t>
  </si>
  <si>
    <t>Transform</t>
  </si>
  <si>
    <t>Shape 1</t>
  </si>
  <si>
    <t>Shape 2</t>
  </si>
  <si>
    <t>A[</t>
  </si>
  <si>
    <t>]</t>
  </si>
  <si>
    <t>B[</t>
  </si>
  <si>
    <t>j</t>
  </si>
  <si>
    <r>
      <rPr>
        <sz val="12"/>
        <color rgb="FF7030A0"/>
        <rFont val="Courier New"/>
        <family val="1"/>
      </rPr>
      <t>#define</t>
    </r>
    <r>
      <rPr>
        <sz val="12"/>
        <color theme="1"/>
        <rFont val="Courier New"/>
        <family val="1"/>
      </rPr>
      <t xml:space="preserve"> VEC_SIZE 3</t>
    </r>
  </si>
  <si>
    <t>s +=</t>
  </si>
  <si>
    <t>https://byhand.ai/NN2Transformer</t>
  </si>
  <si>
    <t>Neural Network 2 Transformer by Hand ✍️</t>
  </si>
  <si>
    <t>https://byhand.ai/gpu</t>
  </si>
  <si>
    <t>Self Attention</t>
  </si>
  <si>
    <t>I invented DEC8 (decimal 8) to illustrate quantize vs dequanitze.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</si>
</sst>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Courier New"/>
      <family val="1"/>
    </font>
    <font>
      <sz val="12"/>
      <color rgb="FF7030A0"/>
      <name val="Courier New"/>
      <family val="1"/>
    </font>
    <font>
      <sz val="12"/>
      <color rgb="FF0070C0"/>
      <name val="Courier New"/>
      <family val="1"/>
    </font>
    <font>
      <sz val="12"/>
      <color theme="9" tint="-0.249977111117893"/>
      <name val="Courier New"/>
      <family val="1"/>
    </font>
    <font>
      <sz val="16"/>
      <color theme="1"/>
      <name val="Aptos Narrow"/>
      <family val="2"/>
      <scheme val="minor"/>
    </font>
    <font>
      <sz val="14"/>
      <color theme="1"/>
      <name val="Arial"/>
      <family val="2"/>
    </font>
    <font>
      <sz val="16"/>
      <color rgb="FF000000"/>
      <name val="Aptos Narrow"/>
      <family val="2"/>
      <scheme val="minor"/>
    </font>
    <font>
      <sz val="14"/>
      <color rgb="FF1F1F1F"/>
      <name val="Arial"/>
      <family val="2"/>
    </font>
    <font>
      <vertAlign val="superscript"/>
      <sz val="16"/>
      <color theme="1"/>
      <name val="Aptos Narrow (Body)"/>
    </font>
    <font>
      <b/>
      <sz val="36"/>
      <color theme="1"/>
      <name val="Aptos Narrow"/>
      <family val="2"/>
      <scheme val="minor"/>
    </font>
    <font>
      <sz val="36"/>
      <color theme="0"/>
      <name val="Aptos Narrow"/>
      <family val="2"/>
      <scheme val="minor"/>
    </font>
    <font>
      <sz val="26"/>
      <color theme="0"/>
      <name val="Aptos Narrow"/>
      <family val="2"/>
      <scheme val="minor"/>
    </font>
    <font>
      <sz val="26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0" xfId="0" quotePrefix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12" fillId="6" borderId="5" xfId="0" applyFont="1" applyFill="1" applyBorder="1" applyAlignment="1">
      <alignment vertical="center"/>
    </xf>
    <xf numFmtId="0" fontId="13" fillId="6" borderId="5" xfId="0" applyFont="1" applyFill="1" applyBorder="1" applyAlignment="1">
      <alignment vertical="center"/>
    </xf>
    <xf numFmtId="0" fontId="14" fillId="2" borderId="0" xfId="0" applyFont="1" applyFill="1"/>
    <xf numFmtId="0" fontId="15" fillId="2" borderId="0" xfId="0" applyFont="1" applyFill="1"/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2" fillId="0" borderId="0" xfId="0" quotePrefix="1" applyFont="1"/>
    <xf numFmtId="0" fontId="16" fillId="0" borderId="0" xfId="0" applyFont="1"/>
    <xf numFmtId="0" fontId="0" fillId="0" borderId="7" xfId="0" applyBorder="1" applyAlignment="1">
      <alignment shrinkToFit="1"/>
    </xf>
    <xf numFmtId="0" fontId="1" fillId="0" borderId="0" xfId="0" applyFont="1"/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7" fillId="0" borderId="0" xfId="0" applyFont="1"/>
    <xf numFmtId="0" fontId="18" fillId="5" borderId="1" xfId="0" applyFont="1" applyFill="1" applyBorder="1" applyAlignment="1">
      <alignment horizontal="center"/>
    </xf>
    <xf numFmtId="0" fontId="18" fillId="5" borderId="3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7" borderId="1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8" fillId="3" borderId="0" xfId="0" applyFont="1" applyFill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0" fontId="0" fillId="0" borderId="10" xfId="0" quotePrefix="1" applyBorder="1"/>
    <xf numFmtId="0" fontId="3" fillId="0" borderId="11" xfId="0" applyFont="1" applyBorder="1"/>
    <xf numFmtId="0" fontId="3" fillId="0" borderId="0" xfId="0" quotePrefix="1" applyFont="1"/>
    <xf numFmtId="0" fontId="3" fillId="0" borderId="8" xfId="0" applyFont="1" applyBorder="1" applyAlignment="1">
      <alignment horizontal="center"/>
    </xf>
    <xf numFmtId="0" fontId="19" fillId="0" borderId="0" xfId="1"/>
    <xf numFmtId="0" fontId="2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20000"/>
                  <a:lumOff val="8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GPU!$G$9:$V$9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</c:numCache>
            </c:numRef>
          </c:xVal>
          <c:yVal>
            <c:numRef>
              <c:f>GPU!$G$10:$V$10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3C-8F49-87F4-8F479EC7D44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GPU!$G$14:$V$14</c:f>
              <c:numCache>
                <c:formatCode>General</c:formatCode>
                <c:ptCount val="16"/>
                <c:pt idx="0">
                  <c:v>0</c:v>
                </c:pt>
              </c:numCache>
            </c:numRef>
          </c:xVal>
          <c:yVal>
            <c:numRef>
              <c:f>GPU!$G$15:$V$15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3C-8F49-87F4-8F479EC7D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34784"/>
        <c:axId val="21363184"/>
      </c:scatterChart>
      <c:valAx>
        <c:axId val="21834784"/>
        <c:scaling>
          <c:orientation val="minMax"/>
          <c:max val="1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3184"/>
        <c:crossesAt val="0"/>
        <c:crossBetween val="midCat"/>
        <c:majorUnit val="5"/>
        <c:minorUnit val="1"/>
      </c:valAx>
      <c:valAx>
        <c:axId val="21363184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34784"/>
        <c:crossesAt val="0"/>
        <c:crossBetween val="midCat"/>
        <c:majorUnit val="5"/>
        <c:minorUnit val="1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251691</xdr:colOff>
      <xdr:row>16</xdr:row>
      <xdr:rowOff>293254</xdr:rowOff>
    </xdr:from>
    <xdr:to>
      <xdr:col>21</xdr:col>
      <xdr:colOff>0</xdr:colOff>
      <xdr:row>28</xdr:row>
      <xdr:rowOff>279400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65E782C-81A8-AB40-B39C-DFE57785C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byhand.ai/gpu" TargetMode="External"/><Relationship Id="rId1" Type="http://schemas.openxmlformats.org/officeDocument/2006/relationships/hyperlink" Target="https://byhand.ai/NN2Transform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F144-73C7-6E40-9E25-F7C986583A9B}">
  <dimension ref="A1:BB506"/>
  <sheetViews>
    <sheetView tabSelected="1" zoomScaleNormal="100" workbookViewId="0">
      <pane ySplit="1" topLeftCell="A2" activePane="bottomLeft" state="frozen"/>
      <selection pane="bottomLeft" activeCell="B65" sqref="B65"/>
    </sheetView>
  </sheetViews>
  <sheetFormatPr baseColWidth="10" defaultColWidth="4.83203125" defaultRowHeight="24" customHeight="1" x14ac:dyDescent="0.2"/>
  <cols>
    <col min="1" max="1" width="4.83203125" customWidth="1"/>
    <col min="13" max="13" width="4.83203125" customWidth="1"/>
    <col min="16" max="16" width="4.83203125" customWidth="1"/>
    <col min="20" max="20" width="4.83203125" customWidth="1"/>
    <col min="25" max="25" width="4.83203125" customWidth="1"/>
    <col min="27" max="36" width="4.83203125" customWidth="1"/>
    <col min="38" max="38" width="4.83203125" customWidth="1"/>
    <col min="40" max="40" width="5.1640625" bestFit="1" customWidth="1"/>
    <col min="49" max="49" width="4.83203125" customWidth="1"/>
    <col min="60" max="60" width="4.83203125" customWidth="1"/>
  </cols>
  <sheetData>
    <row r="1" spans="1:22" s="66" customFormat="1" x14ac:dyDescent="0.3">
      <c r="A1" s="65" t="s">
        <v>170</v>
      </c>
    </row>
    <row r="3" spans="1:22" s="37" customFormat="1" ht="70" customHeight="1" x14ac:dyDescent="0.2">
      <c r="A3" s="36" t="s">
        <v>101</v>
      </c>
    </row>
    <row r="5" spans="1:22" s="39" customFormat="1" ht="34" x14ac:dyDescent="0.4">
      <c r="A5" s="38" t="s">
        <v>100</v>
      </c>
    </row>
    <row r="8" spans="1:22" ht="24" customHeight="1" x14ac:dyDescent="0.2">
      <c r="F8" t="s">
        <v>160</v>
      </c>
    </row>
    <row r="9" spans="1:22" ht="24" customHeight="1" x14ac:dyDescent="0.25">
      <c r="F9" s="13" t="s">
        <v>157</v>
      </c>
      <c r="G9" s="52">
        <v>1</v>
      </c>
      <c r="H9" s="52">
        <v>2</v>
      </c>
      <c r="I9" s="52">
        <v>3</v>
      </c>
      <c r="J9" s="52">
        <v>4</v>
      </c>
      <c r="K9" s="52">
        <v>5</v>
      </c>
      <c r="L9" s="52">
        <v>4</v>
      </c>
      <c r="M9" s="52">
        <v>4</v>
      </c>
      <c r="N9" s="52">
        <v>4</v>
      </c>
      <c r="O9" s="52">
        <v>3</v>
      </c>
      <c r="P9" s="52">
        <v>2</v>
      </c>
      <c r="Q9" s="52">
        <v>1</v>
      </c>
      <c r="R9" s="52">
        <v>1</v>
      </c>
      <c r="S9" s="52">
        <v>1</v>
      </c>
      <c r="T9" s="52">
        <v>0</v>
      </c>
      <c r="U9" s="52">
        <v>0</v>
      </c>
      <c r="V9" s="52">
        <v>5</v>
      </c>
    </row>
    <row r="10" spans="1:22" ht="24" customHeight="1" x14ac:dyDescent="0.25">
      <c r="F10" s="13" t="s">
        <v>158</v>
      </c>
      <c r="G10" s="53">
        <v>1</v>
      </c>
      <c r="H10" s="53">
        <v>1</v>
      </c>
      <c r="I10" s="53">
        <v>1</v>
      </c>
      <c r="J10" s="53">
        <v>1</v>
      </c>
      <c r="K10" s="53">
        <v>2</v>
      </c>
      <c r="L10" s="53">
        <v>3</v>
      </c>
      <c r="M10" s="53">
        <v>4</v>
      </c>
      <c r="N10" s="53">
        <v>5</v>
      </c>
      <c r="O10" s="53">
        <v>6</v>
      </c>
      <c r="P10" s="53">
        <v>6</v>
      </c>
      <c r="Q10" s="53">
        <v>5</v>
      </c>
      <c r="R10" s="53">
        <v>4</v>
      </c>
      <c r="S10" s="53">
        <v>3</v>
      </c>
      <c r="T10" s="53">
        <v>2</v>
      </c>
      <c r="U10" s="53">
        <v>1</v>
      </c>
      <c r="V10" s="53">
        <v>1</v>
      </c>
    </row>
    <row r="11" spans="1:22" ht="24" customHeight="1" x14ac:dyDescent="0.25">
      <c r="G11" s="54">
        <v>1</v>
      </c>
      <c r="H11" s="54">
        <v>1</v>
      </c>
      <c r="I11" s="54">
        <v>1</v>
      </c>
      <c r="J11" s="54">
        <v>1</v>
      </c>
      <c r="K11" s="54">
        <v>1</v>
      </c>
      <c r="L11" s="54">
        <v>1</v>
      </c>
      <c r="M11" s="54">
        <v>1</v>
      </c>
      <c r="N11" s="54">
        <v>1</v>
      </c>
      <c r="O11" s="54">
        <v>1</v>
      </c>
      <c r="P11" s="54">
        <v>1</v>
      </c>
      <c r="Q11" s="54">
        <v>1</v>
      </c>
      <c r="R11" s="54">
        <v>1</v>
      </c>
      <c r="S11" s="54">
        <v>1</v>
      </c>
      <c r="T11" s="54">
        <v>1</v>
      </c>
      <c r="U11" s="54">
        <v>1</v>
      </c>
      <c r="V11" s="54">
        <v>1</v>
      </c>
    </row>
    <row r="12" spans="1:22" ht="24" customHeight="1" x14ac:dyDescent="0.25"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</row>
    <row r="13" spans="1:22" ht="24" customHeight="1" x14ac:dyDescent="0.25">
      <c r="B13" t="s">
        <v>159</v>
      </c>
      <c r="F13" t="s">
        <v>161</v>
      </c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</row>
    <row r="14" spans="1:22" ht="24" customHeight="1" x14ac:dyDescent="0.25">
      <c r="B14" s="57">
        <v>1</v>
      </c>
      <c r="C14" s="57">
        <v>0</v>
      </c>
      <c r="D14" s="57">
        <v>0</v>
      </c>
      <c r="F14" s="13" t="s">
        <v>157</v>
      </c>
      <c r="G14" s="55">
        <v>0</v>
      </c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</row>
    <row r="15" spans="1:22" ht="24" customHeight="1" x14ac:dyDescent="0.25">
      <c r="B15" s="57">
        <v>0</v>
      </c>
      <c r="C15" s="57">
        <v>1</v>
      </c>
      <c r="D15" s="57">
        <v>0</v>
      </c>
      <c r="F15" s="13" t="s">
        <v>158</v>
      </c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</row>
    <row r="16" spans="1:22" ht="24" customHeight="1" x14ac:dyDescent="0.25">
      <c r="B16" s="57">
        <v>0</v>
      </c>
      <c r="C16" s="57">
        <v>0</v>
      </c>
      <c r="D16" s="57">
        <v>1</v>
      </c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</row>
    <row r="35" spans="1:29" s="39" customFormat="1" ht="34" x14ac:dyDescent="0.4">
      <c r="A35" s="38" t="s">
        <v>171</v>
      </c>
    </row>
    <row r="36" spans="1:29" ht="24" customHeight="1" x14ac:dyDescent="0.2">
      <c r="A36" t="s">
        <v>169</v>
      </c>
    </row>
    <row r="37" spans="1:29" ht="24" customHeight="1" x14ac:dyDescent="0.2">
      <c r="A37" s="65" t="s">
        <v>168</v>
      </c>
    </row>
    <row r="40" spans="1:29" ht="24" customHeight="1" x14ac:dyDescent="0.3">
      <c r="A40" t="s">
        <v>124</v>
      </c>
      <c r="K40" s="16" t="s">
        <v>62</v>
      </c>
      <c r="L40" s="17" t="s">
        <v>63</v>
      </c>
      <c r="M40" s="17" t="s">
        <v>64</v>
      </c>
      <c r="N40" s="17" t="s">
        <v>65</v>
      </c>
      <c r="O40" s="17" t="s">
        <v>66</v>
      </c>
      <c r="P40" s="17" t="s">
        <v>67</v>
      </c>
    </row>
    <row r="41" spans="1:29" ht="24" customHeight="1" x14ac:dyDescent="0.3">
      <c r="L41" s="18">
        <v>1</v>
      </c>
      <c r="M41" s="18">
        <v>0</v>
      </c>
      <c r="N41" s="18">
        <v>1</v>
      </c>
      <c r="O41" s="18">
        <v>0</v>
      </c>
      <c r="P41" s="18">
        <v>1</v>
      </c>
    </row>
    <row r="42" spans="1:29" ht="24" customHeight="1" x14ac:dyDescent="0.3">
      <c r="L42" s="19">
        <v>1</v>
      </c>
      <c r="M42" s="19">
        <v>1</v>
      </c>
      <c r="N42" s="19">
        <v>0</v>
      </c>
      <c r="O42" s="19">
        <v>1</v>
      </c>
      <c r="P42" s="19">
        <v>0</v>
      </c>
    </row>
    <row r="43" spans="1:29" ht="24" customHeight="1" x14ac:dyDescent="0.3">
      <c r="J43" s="13"/>
      <c r="L43" s="19">
        <v>0</v>
      </c>
      <c r="M43" s="19">
        <v>0</v>
      </c>
      <c r="N43" s="19">
        <v>1</v>
      </c>
      <c r="O43" s="19">
        <v>0</v>
      </c>
      <c r="P43" s="19">
        <v>1</v>
      </c>
    </row>
    <row r="44" spans="1:29" ht="24" customHeight="1" x14ac:dyDescent="0.3">
      <c r="J44" s="13"/>
      <c r="L44" s="19">
        <v>0</v>
      </c>
      <c r="M44" s="19">
        <v>1</v>
      </c>
      <c r="N44" s="19">
        <v>1</v>
      </c>
      <c r="O44" s="19">
        <v>0</v>
      </c>
      <c r="P44" s="19">
        <v>0</v>
      </c>
    </row>
    <row r="45" spans="1:29" ht="24" customHeight="1" x14ac:dyDescent="0.3">
      <c r="J45" s="13"/>
      <c r="L45" s="20">
        <v>0</v>
      </c>
      <c r="M45" s="20">
        <v>1</v>
      </c>
      <c r="N45" s="20">
        <v>0</v>
      </c>
      <c r="O45" s="20">
        <v>0</v>
      </c>
      <c r="P45" s="20">
        <v>3</v>
      </c>
    </row>
    <row r="46" spans="1:29" ht="24" customHeight="1" x14ac:dyDescent="0.2">
      <c r="J46" s="13"/>
      <c r="K46" s="13"/>
      <c r="L46" s="21" t="s">
        <v>68</v>
      </c>
      <c r="M46" s="21" t="s">
        <v>68</v>
      </c>
      <c r="N46" s="21" t="s">
        <v>68</v>
      </c>
      <c r="O46" s="21" t="s">
        <v>68</v>
      </c>
      <c r="P46" s="21" t="s">
        <v>68</v>
      </c>
    </row>
    <row r="47" spans="1:29" ht="24" customHeight="1" x14ac:dyDescent="0.3">
      <c r="F47" s="16" t="s">
        <v>69</v>
      </c>
      <c r="G47" s="16"/>
      <c r="H47" s="16"/>
      <c r="I47" s="16"/>
      <c r="J47" s="17"/>
      <c r="K47" s="17"/>
      <c r="L47" s="22" t="s">
        <v>70</v>
      </c>
      <c r="M47" s="22" t="s">
        <v>71</v>
      </c>
      <c r="N47" s="22" t="s">
        <v>72</v>
      </c>
      <c r="O47" s="22" t="s">
        <v>73</v>
      </c>
      <c r="P47" s="22" t="s">
        <v>74</v>
      </c>
      <c r="X47" s="17" t="s">
        <v>75</v>
      </c>
      <c r="Y47" s="17" t="s">
        <v>70</v>
      </c>
      <c r="Z47" s="17" t="s">
        <v>71</v>
      </c>
      <c r="AA47" s="17" t="s">
        <v>72</v>
      </c>
      <c r="AB47" s="17" t="s">
        <v>73</v>
      </c>
      <c r="AC47" s="17" t="s">
        <v>74</v>
      </c>
    </row>
    <row r="48" spans="1:29" ht="24" customHeight="1" x14ac:dyDescent="0.3">
      <c r="F48" s="23">
        <v>0</v>
      </c>
      <c r="G48" s="23">
        <v>1</v>
      </c>
      <c r="H48" s="23">
        <v>0</v>
      </c>
      <c r="I48" s="23">
        <v>1</v>
      </c>
      <c r="J48" s="23">
        <v>1</v>
      </c>
      <c r="K48" s="24" t="s">
        <v>76</v>
      </c>
      <c r="L48" s="25"/>
      <c r="M48" s="25"/>
      <c r="N48" s="25"/>
      <c r="O48" s="25"/>
      <c r="P48" s="25"/>
      <c r="Y48" s="25" t="e" cm="1">
        <f t="array" ref="Y48">_xlfn.ANCHORARRAY(L48)</f>
        <v>#REF!</v>
      </c>
      <c r="Z48" s="25"/>
      <c r="AA48" s="25"/>
      <c r="AB48" s="25"/>
      <c r="AC48" s="25"/>
    </row>
    <row r="49" spans="6:35" ht="24" customHeight="1" x14ac:dyDescent="0.3">
      <c r="F49" s="23">
        <v>1</v>
      </c>
      <c r="G49" s="23">
        <v>0</v>
      </c>
      <c r="H49" s="23">
        <v>1</v>
      </c>
      <c r="I49" s="23">
        <v>0</v>
      </c>
      <c r="J49" s="23">
        <v>1</v>
      </c>
      <c r="K49" s="24" t="s">
        <v>76</v>
      </c>
      <c r="L49" s="26"/>
      <c r="M49" s="26"/>
      <c r="N49" s="26"/>
      <c r="O49" s="26"/>
      <c r="P49" s="26"/>
      <c r="Y49" s="26"/>
      <c r="Z49" s="26"/>
      <c r="AA49" s="26"/>
      <c r="AB49" s="26"/>
      <c r="AC49" s="26"/>
    </row>
    <row r="50" spans="6:35" ht="24" customHeight="1" x14ac:dyDescent="0.3">
      <c r="F50" s="16" t="s">
        <v>77</v>
      </c>
      <c r="G50" s="16"/>
      <c r="H50" s="16"/>
      <c r="I50" s="16"/>
      <c r="J50" s="17"/>
      <c r="K50" s="17"/>
      <c r="L50" s="22" t="s">
        <v>78</v>
      </c>
      <c r="M50" s="22" t="s">
        <v>79</v>
      </c>
      <c r="N50" s="22" t="s">
        <v>80</v>
      </c>
      <c r="O50" s="22" t="s">
        <v>81</v>
      </c>
      <c r="P50" s="22" t="s">
        <v>82</v>
      </c>
      <c r="Y50" s="21" t="s">
        <v>68</v>
      </c>
      <c r="Z50" s="21" t="s">
        <v>68</v>
      </c>
      <c r="AA50" s="21" t="s">
        <v>68</v>
      </c>
      <c r="AB50" s="21" t="s">
        <v>68</v>
      </c>
      <c r="AC50" s="21" t="s">
        <v>68</v>
      </c>
    </row>
    <row r="51" spans="6:35" ht="24" customHeight="1" x14ac:dyDescent="0.3">
      <c r="F51" s="23">
        <v>0</v>
      </c>
      <c r="G51" s="23">
        <v>1</v>
      </c>
      <c r="H51" s="23">
        <v>0</v>
      </c>
      <c r="I51" s="23">
        <v>1</v>
      </c>
      <c r="J51" s="23">
        <v>1</v>
      </c>
      <c r="K51" s="24" t="s">
        <v>76</v>
      </c>
      <c r="L51" s="25"/>
      <c r="M51" s="25"/>
      <c r="N51" s="25"/>
      <c r="O51" s="25"/>
      <c r="P51" s="25"/>
      <c r="U51" s="17" t="s">
        <v>83</v>
      </c>
      <c r="V51" s="16"/>
      <c r="W51" s="16"/>
      <c r="X51" s="16"/>
      <c r="Y51" s="16" t="s">
        <v>84</v>
      </c>
      <c r="Z51" s="16"/>
      <c r="AA51" s="16"/>
      <c r="AB51" s="16"/>
      <c r="AC51" s="16"/>
      <c r="AD51" s="16"/>
      <c r="AE51" s="16" t="s">
        <v>85</v>
      </c>
      <c r="AF51" s="16"/>
      <c r="AG51" s="16"/>
      <c r="AH51" s="16"/>
      <c r="AI51" s="16"/>
    </row>
    <row r="52" spans="6:35" ht="24" customHeight="1" x14ac:dyDescent="0.3">
      <c r="F52" s="23">
        <v>1</v>
      </c>
      <c r="G52" s="23">
        <v>0</v>
      </c>
      <c r="H52" s="23">
        <v>1</v>
      </c>
      <c r="I52" s="23">
        <v>1</v>
      </c>
      <c r="J52" s="23">
        <v>0</v>
      </c>
      <c r="K52" s="24" t="s">
        <v>76</v>
      </c>
      <c r="L52" s="26"/>
      <c r="M52" s="26"/>
      <c r="N52" s="26"/>
      <c r="O52" s="26"/>
      <c r="P52" s="26"/>
      <c r="U52" s="22" t="s">
        <v>78</v>
      </c>
      <c r="V52" s="27" t="e" cm="1">
        <f t="array" ref="V52">TRANSPOSE(_xlfn.ANCHORARRAY(L51))</f>
        <v>#REF!</v>
      </c>
      <c r="W52" s="28"/>
      <c r="X52" s="24" t="s">
        <v>76</v>
      </c>
      <c r="Y52" s="9" t="e" cm="1">
        <f t="array" ref="Y52">MMULT(_xlfn.ANCHORARRAY(V52),_xlfn.ANCHORARRAY(Y48))/SQRT(2)</f>
        <v>#REF!</v>
      </c>
      <c r="Z52" s="9"/>
      <c r="AA52" s="9"/>
      <c r="AB52" s="9"/>
      <c r="AC52" s="9"/>
      <c r="AE52" s="29" t="e" cm="1">
        <f t="array" ref="AE52:AE56">EXP(Y52:Y56)/SUM(EXP(Y52:Y56))</f>
        <v>#REF!</v>
      </c>
      <c r="AF52" s="29" cm="1">
        <f t="array" ref="AF52:AF56">EXP(Z52:Z56)/SUM(EXP(Z52:Z56))</f>
        <v>0.2</v>
      </c>
      <c r="AG52" s="29" cm="1">
        <f t="array" ref="AG52:AG56">EXP(AA52:AA56)/SUM(EXP(AA52:AA56))</f>
        <v>0.2</v>
      </c>
      <c r="AH52" s="29" cm="1">
        <f t="array" ref="AH52:AH56">EXP(AB52:AB56)/SUM(EXP(AB52:AB56))</f>
        <v>0.2</v>
      </c>
      <c r="AI52" s="29" cm="1">
        <f t="array" ref="AI52:AI56">EXP(AC52:AC56)/SUM(EXP(AC52:AC56))</f>
        <v>0.2</v>
      </c>
    </row>
    <row r="53" spans="6:35" ht="24" customHeight="1" x14ac:dyDescent="0.3">
      <c r="F53" s="16" t="s">
        <v>86</v>
      </c>
      <c r="J53" s="13"/>
      <c r="K53" s="13"/>
      <c r="L53" s="17" t="s">
        <v>87</v>
      </c>
      <c r="M53" s="17" t="s">
        <v>88</v>
      </c>
      <c r="N53" s="17" t="s">
        <v>89</v>
      </c>
      <c r="O53" s="17" t="s">
        <v>90</v>
      </c>
      <c r="P53" s="17" t="s">
        <v>91</v>
      </c>
      <c r="U53" s="22" t="s">
        <v>79</v>
      </c>
      <c r="V53" s="27"/>
      <c r="W53" s="28"/>
      <c r="X53" s="24" t="s">
        <v>76</v>
      </c>
      <c r="Y53" s="12"/>
      <c r="Z53" s="12"/>
      <c r="AA53" s="12"/>
      <c r="AB53" s="12"/>
      <c r="AC53" s="12"/>
      <c r="AE53" s="30" t="e">
        <v>#REF!</v>
      </c>
      <c r="AF53" s="30">
        <v>0.2</v>
      </c>
      <c r="AG53" s="30">
        <v>0.2</v>
      </c>
      <c r="AH53" s="30">
        <v>0.2</v>
      </c>
      <c r="AI53" s="30">
        <v>0.2</v>
      </c>
    </row>
    <row r="54" spans="6:35" ht="24" customHeight="1" x14ac:dyDescent="0.3">
      <c r="F54" s="23">
        <v>0</v>
      </c>
      <c r="G54" s="23">
        <v>1</v>
      </c>
      <c r="H54" s="23">
        <v>1</v>
      </c>
      <c r="I54" s="23">
        <v>0</v>
      </c>
      <c r="J54" s="23">
        <v>1</v>
      </c>
      <c r="K54" s="24" t="s">
        <v>76</v>
      </c>
      <c r="L54" s="25" cm="1">
        <f t="array" ref="L54:P58">MMULT(F54:J58,L41:P45)</f>
        <v>1</v>
      </c>
      <c r="M54" s="25">
        <v>2</v>
      </c>
      <c r="N54" s="25">
        <v>1</v>
      </c>
      <c r="O54" s="25">
        <v>1</v>
      </c>
      <c r="P54" s="25">
        <v>4</v>
      </c>
      <c r="U54" s="22" t="s">
        <v>80</v>
      </c>
      <c r="V54" s="27"/>
      <c r="W54" s="28"/>
      <c r="X54" s="24" t="s">
        <v>76</v>
      </c>
      <c r="Y54" s="12"/>
      <c r="Z54" s="12"/>
      <c r="AA54" s="12"/>
      <c r="AB54" s="12"/>
      <c r="AC54" s="12"/>
      <c r="AE54" s="30" t="e">
        <v>#REF!</v>
      </c>
      <c r="AF54" s="30">
        <v>0.2</v>
      </c>
      <c r="AG54" s="30">
        <v>0.2</v>
      </c>
      <c r="AH54" s="30">
        <v>0.2</v>
      </c>
      <c r="AI54" s="30">
        <v>0.2</v>
      </c>
    </row>
    <row r="55" spans="6:35" ht="24" customHeight="1" x14ac:dyDescent="0.3">
      <c r="F55" s="23">
        <v>1</v>
      </c>
      <c r="G55" s="23">
        <v>1</v>
      </c>
      <c r="H55" s="23">
        <v>-1</v>
      </c>
      <c r="I55" s="23">
        <v>0</v>
      </c>
      <c r="J55" s="23">
        <v>0</v>
      </c>
      <c r="K55" s="24" t="s">
        <v>76</v>
      </c>
      <c r="L55" s="32">
        <v>2</v>
      </c>
      <c r="M55" s="32">
        <v>1</v>
      </c>
      <c r="N55" s="32">
        <v>0</v>
      </c>
      <c r="O55" s="32">
        <v>1</v>
      </c>
      <c r="P55" s="32">
        <v>0</v>
      </c>
      <c r="U55" s="22" t="s">
        <v>81</v>
      </c>
      <c r="V55" s="27"/>
      <c r="W55" s="28"/>
      <c r="X55" s="24" t="s">
        <v>76</v>
      </c>
      <c r="Y55" s="12"/>
      <c r="Z55" s="12"/>
      <c r="AA55" s="12"/>
      <c r="AB55" s="12"/>
      <c r="AC55" s="12"/>
      <c r="AE55" s="30" t="e">
        <v>#REF!</v>
      </c>
      <c r="AF55" s="30">
        <v>0.2</v>
      </c>
      <c r="AG55" s="30">
        <v>0.2</v>
      </c>
      <c r="AH55" s="30">
        <v>0.2</v>
      </c>
      <c r="AI55" s="30">
        <v>0.2</v>
      </c>
    </row>
    <row r="56" spans="6:35" ht="24" customHeight="1" x14ac:dyDescent="0.3">
      <c r="F56" s="23">
        <v>1</v>
      </c>
      <c r="G56" s="23">
        <v>0</v>
      </c>
      <c r="H56" s="23">
        <v>1</v>
      </c>
      <c r="I56" s="23">
        <v>-1</v>
      </c>
      <c r="J56" s="23">
        <v>1</v>
      </c>
      <c r="K56" s="24" t="s">
        <v>76</v>
      </c>
      <c r="L56" s="32">
        <v>1</v>
      </c>
      <c r="M56" s="32">
        <v>0</v>
      </c>
      <c r="N56" s="32">
        <v>1</v>
      </c>
      <c r="O56" s="32">
        <v>0</v>
      </c>
      <c r="P56" s="32">
        <v>5</v>
      </c>
      <c r="U56" s="22" t="s">
        <v>82</v>
      </c>
      <c r="V56" s="27"/>
      <c r="W56" s="28"/>
      <c r="X56" s="24" t="s">
        <v>76</v>
      </c>
      <c r="Y56" s="10"/>
      <c r="Z56" s="10"/>
      <c r="AA56" s="10"/>
      <c r="AB56" s="10"/>
      <c r="AC56" s="10"/>
      <c r="AE56" s="31" t="e">
        <v>#REF!</v>
      </c>
      <c r="AF56" s="31">
        <v>0.2</v>
      </c>
      <c r="AG56" s="31">
        <v>0.2</v>
      </c>
      <c r="AH56" s="31">
        <v>0.2</v>
      </c>
      <c r="AI56" s="31">
        <v>0.2</v>
      </c>
    </row>
    <row r="57" spans="6:35" ht="24" customHeight="1" x14ac:dyDescent="0.3">
      <c r="F57" s="23">
        <v>1</v>
      </c>
      <c r="G57" s="23">
        <v>1</v>
      </c>
      <c r="H57" s="23">
        <v>1</v>
      </c>
      <c r="I57" s="23">
        <v>0</v>
      </c>
      <c r="J57" s="23">
        <v>1</v>
      </c>
      <c r="K57" s="24" t="s">
        <v>76</v>
      </c>
      <c r="L57" s="32">
        <v>2</v>
      </c>
      <c r="M57" s="32">
        <v>2</v>
      </c>
      <c r="N57" s="32">
        <v>2</v>
      </c>
      <c r="O57" s="32">
        <v>1</v>
      </c>
      <c r="P57" s="32">
        <v>5</v>
      </c>
      <c r="AE57" s="21" t="s">
        <v>68</v>
      </c>
      <c r="AF57" s="21" t="s">
        <v>68</v>
      </c>
      <c r="AG57" s="21" t="s">
        <v>68</v>
      </c>
      <c r="AH57" s="21" t="s">
        <v>68</v>
      </c>
      <c r="AI57" s="21" t="s">
        <v>68</v>
      </c>
    </row>
    <row r="58" spans="6:35" ht="24" customHeight="1" x14ac:dyDescent="0.3">
      <c r="F58" s="23">
        <v>1</v>
      </c>
      <c r="G58" s="23">
        <v>1</v>
      </c>
      <c r="H58" s="23">
        <v>0</v>
      </c>
      <c r="I58" s="23">
        <v>1</v>
      </c>
      <c r="J58" s="23">
        <v>-1</v>
      </c>
      <c r="K58" s="24" t="s">
        <v>76</v>
      </c>
      <c r="L58" s="26">
        <v>2</v>
      </c>
      <c r="M58" s="26">
        <v>1</v>
      </c>
      <c r="N58" s="26">
        <v>2</v>
      </c>
      <c r="O58" s="26">
        <v>1</v>
      </c>
      <c r="P58" s="26">
        <v>-2</v>
      </c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 t="s">
        <v>92</v>
      </c>
      <c r="AF58" s="16"/>
      <c r="AG58" s="16"/>
      <c r="AH58" s="16"/>
      <c r="AI58" s="16"/>
    </row>
    <row r="59" spans="6:35" ht="24" customHeight="1" x14ac:dyDescent="0.3">
      <c r="S59" s="16"/>
      <c r="X59" s="17" t="s">
        <v>93</v>
      </c>
      <c r="Y59" s="17" t="s">
        <v>87</v>
      </c>
      <c r="Z59" s="17" t="s">
        <v>88</v>
      </c>
      <c r="AA59" s="17" t="s">
        <v>89</v>
      </c>
      <c r="AB59" s="17" t="s">
        <v>90</v>
      </c>
      <c r="AC59" s="17" t="s">
        <v>91</v>
      </c>
      <c r="AD59" s="17" t="s">
        <v>94</v>
      </c>
      <c r="AE59" s="17" t="s">
        <v>95</v>
      </c>
      <c r="AF59" s="17" t="s">
        <v>96</v>
      </c>
      <c r="AG59" s="17" t="s">
        <v>97</v>
      </c>
      <c r="AH59" s="17" t="s">
        <v>98</v>
      </c>
      <c r="AI59" s="17" t="s">
        <v>99</v>
      </c>
    </row>
    <row r="60" spans="6:35" ht="24" customHeight="1" x14ac:dyDescent="0.3">
      <c r="Y60" s="25" cm="1">
        <f t="array" ref="Y60:AC64">_xlfn.ANCHORARRAY(L54)</f>
        <v>1</v>
      </c>
      <c r="Z60" s="25">
        <v>2</v>
      </c>
      <c r="AA60" s="25">
        <v>1</v>
      </c>
      <c r="AB60" s="25">
        <v>1</v>
      </c>
      <c r="AC60" s="25">
        <v>4</v>
      </c>
      <c r="AD60" s="24" t="s">
        <v>76</v>
      </c>
      <c r="AE60" s="33"/>
      <c r="AF60" s="33"/>
      <c r="AG60" s="33"/>
      <c r="AH60" s="33"/>
      <c r="AI60" s="33"/>
    </row>
    <row r="61" spans="6:35" ht="24" customHeight="1" x14ac:dyDescent="0.3">
      <c r="Q61" s="13"/>
      <c r="Y61" s="32">
        <v>2</v>
      </c>
      <c r="Z61" s="32">
        <v>1</v>
      </c>
      <c r="AA61" s="32">
        <v>0</v>
      </c>
      <c r="AB61" s="32">
        <v>1</v>
      </c>
      <c r="AC61" s="32">
        <v>0</v>
      </c>
      <c r="AD61" s="24" t="s">
        <v>76</v>
      </c>
      <c r="AE61" s="34"/>
      <c r="AF61" s="34"/>
      <c r="AG61" s="34"/>
      <c r="AH61" s="34"/>
      <c r="AI61" s="34"/>
    </row>
    <row r="62" spans="6:35" ht="24" customHeight="1" x14ac:dyDescent="0.3">
      <c r="Q62" s="13"/>
      <c r="Y62" s="32">
        <v>1</v>
      </c>
      <c r="Z62" s="32">
        <v>0</v>
      </c>
      <c r="AA62" s="32">
        <v>1</v>
      </c>
      <c r="AB62" s="32">
        <v>0</v>
      </c>
      <c r="AC62" s="32">
        <v>5</v>
      </c>
      <c r="AD62" s="24" t="s">
        <v>76</v>
      </c>
      <c r="AE62" s="34"/>
      <c r="AF62" s="34"/>
      <c r="AG62" s="34"/>
      <c r="AH62" s="34"/>
      <c r="AI62" s="34"/>
    </row>
    <row r="63" spans="6:35" ht="24" customHeight="1" x14ac:dyDescent="0.3">
      <c r="I63" s="13"/>
      <c r="J63" s="13"/>
      <c r="L63" s="13"/>
      <c r="M63" s="13"/>
      <c r="N63" s="13"/>
      <c r="Q63" s="13"/>
      <c r="Y63" s="32">
        <v>2</v>
      </c>
      <c r="Z63" s="32">
        <v>2</v>
      </c>
      <c r="AA63" s="32">
        <v>2</v>
      </c>
      <c r="AB63" s="32">
        <v>1</v>
      </c>
      <c r="AC63" s="32">
        <v>5</v>
      </c>
      <c r="AD63" s="24" t="s">
        <v>76</v>
      </c>
      <c r="AE63" s="34"/>
      <c r="AF63" s="34"/>
      <c r="AG63" s="34"/>
      <c r="AH63" s="34"/>
      <c r="AI63" s="34"/>
    </row>
    <row r="64" spans="6:35" ht="24" customHeight="1" x14ac:dyDescent="0.3">
      <c r="I64" s="13"/>
      <c r="J64" s="13"/>
      <c r="L64" s="13"/>
      <c r="M64" s="13"/>
      <c r="N64" s="13"/>
      <c r="Q64" s="13"/>
      <c r="Y64" s="26">
        <v>2</v>
      </c>
      <c r="Z64" s="26">
        <v>1</v>
      </c>
      <c r="AA64" s="26">
        <v>2</v>
      </c>
      <c r="AB64" s="26">
        <v>1</v>
      </c>
      <c r="AC64" s="26">
        <v>-2</v>
      </c>
      <c r="AD64" s="24" t="s">
        <v>76</v>
      </c>
      <c r="AE64" s="35"/>
      <c r="AF64" s="35"/>
      <c r="AG64" s="35"/>
      <c r="AH64" s="35"/>
      <c r="AI64" s="35"/>
    </row>
    <row r="69" spans="1:10" s="37" customFormat="1" ht="70" customHeight="1" x14ac:dyDescent="0.2">
      <c r="A69" s="36" t="s">
        <v>103</v>
      </c>
    </row>
    <row r="73" spans="1:10" s="39" customFormat="1" ht="34" x14ac:dyDescent="0.4">
      <c r="A73" s="38" t="s">
        <v>59</v>
      </c>
    </row>
    <row r="75" spans="1:10" ht="24" customHeight="1" x14ac:dyDescent="0.2">
      <c r="B75" t="s">
        <v>60</v>
      </c>
      <c r="J75" t="s">
        <v>16</v>
      </c>
    </row>
    <row r="76" spans="1:10" ht="24" customHeight="1" x14ac:dyDescent="0.2">
      <c r="J76" s="9">
        <v>3</v>
      </c>
    </row>
    <row r="77" spans="1:10" ht="24" customHeight="1" x14ac:dyDescent="0.2">
      <c r="J77" s="12">
        <v>2</v>
      </c>
    </row>
    <row r="78" spans="1:10" ht="24" customHeight="1" x14ac:dyDescent="0.2">
      <c r="J78" s="10">
        <v>4</v>
      </c>
    </row>
    <row r="79" spans="1:10" ht="24" customHeight="1" x14ac:dyDescent="0.2">
      <c r="J79" s="13"/>
    </row>
    <row r="80" spans="1:10" ht="24" customHeight="1" x14ac:dyDescent="0.2">
      <c r="J80" t="s">
        <v>29</v>
      </c>
    </row>
    <row r="81" spans="2:12" ht="24" customHeight="1" x14ac:dyDescent="0.2">
      <c r="E81" t="s">
        <v>31</v>
      </c>
      <c r="F81" s="6">
        <v>1</v>
      </c>
      <c r="G81" s="7">
        <v>5</v>
      </c>
      <c r="H81" s="8">
        <v>-1</v>
      </c>
      <c r="J81" s="11"/>
    </row>
    <row r="84" spans="2:12" ht="24" customHeight="1" x14ac:dyDescent="0.2">
      <c r="F84" t="s">
        <v>31</v>
      </c>
      <c r="I84" t="s">
        <v>32</v>
      </c>
      <c r="L84" t="s">
        <v>29</v>
      </c>
    </row>
    <row r="85" spans="2:12" ht="24" customHeight="1" x14ac:dyDescent="0.2">
      <c r="B85" t="s">
        <v>61</v>
      </c>
      <c r="F85" s="11"/>
      <c r="G85" s="11"/>
      <c r="H85" s="11"/>
      <c r="I85" s="11"/>
      <c r="J85" s="11"/>
      <c r="K85" s="11"/>
      <c r="L85" s="11"/>
    </row>
    <row r="88" spans="2:12" ht="24" customHeight="1" x14ac:dyDescent="0.2">
      <c r="B88" t="s">
        <v>43</v>
      </c>
      <c r="F88" s="13"/>
    </row>
    <row r="89" spans="2:12" ht="24" customHeight="1" x14ac:dyDescent="0.2">
      <c r="B89" s="13" t="s">
        <v>39</v>
      </c>
      <c r="C89" t="s">
        <v>30</v>
      </c>
      <c r="D89" t="s">
        <v>26</v>
      </c>
      <c r="F89" s="11"/>
    </row>
    <row r="90" spans="2:12" ht="24" customHeight="1" x14ac:dyDescent="0.2">
      <c r="B90" s="13" t="s">
        <v>40</v>
      </c>
      <c r="C90" t="s">
        <v>30</v>
      </c>
      <c r="D90" t="s">
        <v>44</v>
      </c>
      <c r="F90" s="11"/>
    </row>
    <row r="91" spans="2:12" ht="24" customHeight="1" x14ac:dyDescent="0.2">
      <c r="B91" s="13" t="s">
        <v>42</v>
      </c>
      <c r="C91" s="1" t="s">
        <v>41</v>
      </c>
      <c r="F91" s="11"/>
    </row>
    <row r="92" spans="2:12" ht="24" customHeight="1" x14ac:dyDescent="0.2">
      <c r="B92" s="13" t="s">
        <v>39</v>
      </c>
      <c r="C92" t="s">
        <v>30</v>
      </c>
      <c r="D92" t="s">
        <v>27</v>
      </c>
      <c r="F92" s="11"/>
    </row>
    <row r="93" spans="2:12" ht="24" customHeight="1" x14ac:dyDescent="0.2">
      <c r="B93" s="13" t="s">
        <v>40</v>
      </c>
      <c r="C93" t="s">
        <v>30</v>
      </c>
      <c r="D93" t="s">
        <v>36</v>
      </c>
      <c r="F93" s="11"/>
    </row>
    <row r="94" spans="2:12" ht="24" customHeight="1" x14ac:dyDescent="0.2">
      <c r="B94" s="13" t="s">
        <v>42</v>
      </c>
      <c r="C94" s="1" t="s">
        <v>41</v>
      </c>
      <c r="F94" s="11"/>
    </row>
    <row r="95" spans="2:12" ht="24" customHeight="1" x14ac:dyDescent="0.2">
      <c r="B95" s="13" t="s">
        <v>39</v>
      </c>
      <c r="C95" t="s">
        <v>30</v>
      </c>
      <c r="D95" t="s">
        <v>28</v>
      </c>
      <c r="F95" s="11"/>
    </row>
    <row r="96" spans="2:12" ht="24" customHeight="1" x14ac:dyDescent="0.2">
      <c r="B96" s="13" t="s">
        <v>40</v>
      </c>
      <c r="C96" t="s">
        <v>30</v>
      </c>
      <c r="D96" t="s">
        <v>37</v>
      </c>
      <c r="F96" s="11"/>
    </row>
    <row r="97" spans="1:12" ht="24" customHeight="1" x14ac:dyDescent="0.2">
      <c r="B97" s="13" t="s">
        <v>42</v>
      </c>
      <c r="C97" s="1" t="s">
        <v>41</v>
      </c>
      <c r="F97" s="11"/>
    </row>
    <row r="102" spans="1:12" s="39" customFormat="1" ht="34" x14ac:dyDescent="0.4">
      <c r="A102" s="38" t="s">
        <v>38</v>
      </c>
    </row>
    <row r="104" spans="1:12" ht="24" customHeight="1" x14ac:dyDescent="0.2">
      <c r="B104" t="s">
        <v>60</v>
      </c>
      <c r="J104" t="s">
        <v>16</v>
      </c>
      <c r="K104" t="s">
        <v>33</v>
      </c>
      <c r="L104" t="s">
        <v>34</v>
      </c>
    </row>
    <row r="105" spans="1:12" ht="24" customHeight="1" x14ac:dyDescent="0.2">
      <c r="J105" s="9">
        <v>3</v>
      </c>
      <c r="K105" s="9">
        <v>4</v>
      </c>
      <c r="L105" s="9">
        <v>2</v>
      </c>
    </row>
    <row r="106" spans="1:12" ht="24" customHeight="1" x14ac:dyDescent="0.2">
      <c r="J106" s="12">
        <v>2</v>
      </c>
      <c r="K106" s="12">
        <v>5</v>
      </c>
      <c r="L106" s="12">
        <v>-2</v>
      </c>
    </row>
    <row r="107" spans="1:12" ht="24" customHeight="1" x14ac:dyDescent="0.2">
      <c r="J107" s="10">
        <v>4</v>
      </c>
      <c r="K107" s="10">
        <v>3</v>
      </c>
      <c r="L107" s="10">
        <v>1</v>
      </c>
    </row>
    <row r="108" spans="1:12" ht="24" customHeight="1" x14ac:dyDescent="0.2">
      <c r="J108" s="13"/>
      <c r="K108" s="13"/>
      <c r="L108" s="13"/>
    </row>
    <row r="109" spans="1:12" ht="24" customHeight="1" x14ac:dyDescent="0.2">
      <c r="J109" t="s">
        <v>22</v>
      </c>
      <c r="K109" t="s">
        <v>23</v>
      </c>
      <c r="L109" t="s">
        <v>24</v>
      </c>
    </row>
    <row r="110" spans="1:12" ht="24" customHeight="1" x14ac:dyDescent="0.2">
      <c r="E110" t="s">
        <v>31</v>
      </c>
      <c r="F110" s="6">
        <v>1</v>
      </c>
      <c r="G110" s="7">
        <v>5</v>
      </c>
      <c r="H110" s="8">
        <v>-1</v>
      </c>
      <c r="J110" s="11" cm="1">
        <f t="array" ref="J110">MMULT(F110:H110,J105:J107)</f>
        <v>9</v>
      </c>
      <c r="K110" s="11"/>
      <c r="L110" s="11"/>
    </row>
    <row r="112" spans="1:12" ht="24" customHeight="1" x14ac:dyDescent="0.2">
      <c r="I112" t="s">
        <v>32</v>
      </c>
    </row>
    <row r="113" spans="2:20" ht="24" customHeight="1" x14ac:dyDescent="0.2">
      <c r="F113" t="s">
        <v>31</v>
      </c>
      <c r="I113" t="s">
        <v>16</v>
      </c>
      <c r="L113" t="s">
        <v>33</v>
      </c>
      <c r="O113" t="s">
        <v>34</v>
      </c>
      <c r="R113" t="s">
        <v>22</v>
      </c>
      <c r="S113" t="s">
        <v>23</v>
      </c>
      <c r="T113" t="s">
        <v>24</v>
      </c>
    </row>
    <row r="114" spans="2:20" ht="24" customHeight="1" x14ac:dyDescent="0.2">
      <c r="B114" t="s">
        <v>61</v>
      </c>
      <c r="F114" s="11" cm="1">
        <f t="array" ref="F114:H114">F110:H110</f>
        <v>1</v>
      </c>
      <c r="G114" s="11">
        <v>5</v>
      </c>
      <c r="H114" s="11">
        <v>-1</v>
      </c>
      <c r="I114" s="11" cm="1">
        <f t="array" ref="I114:K114">TRANSPOSE(J105:J107)</f>
        <v>3</v>
      </c>
      <c r="J114" s="11">
        <v>2</v>
      </c>
      <c r="K114" s="11">
        <v>4</v>
      </c>
      <c r="L114" s="11"/>
      <c r="M114" s="11"/>
      <c r="N114" s="11"/>
      <c r="O114" s="11"/>
      <c r="P114" s="11"/>
      <c r="Q114" s="11"/>
      <c r="R114" s="11">
        <f>I126</f>
        <v>9</v>
      </c>
      <c r="S114" s="11"/>
      <c r="T114" s="11"/>
    </row>
    <row r="117" spans="2:20" ht="24" customHeight="1" x14ac:dyDescent="0.2">
      <c r="B117" t="s">
        <v>43</v>
      </c>
      <c r="I117" s="13" t="s">
        <v>35</v>
      </c>
      <c r="L117" s="13" t="s">
        <v>1</v>
      </c>
      <c r="O117" s="13" t="s">
        <v>2</v>
      </c>
    </row>
    <row r="118" spans="2:20" ht="24" customHeight="1" x14ac:dyDescent="0.2">
      <c r="B118" s="13" t="s">
        <v>39</v>
      </c>
      <c r="C118" t="s">
        <v>30</v>
      </c>
      <c r="D118" t="s">
        <v>26</v>
      </c>
      <c r="I118" s="11">
        <f>F114</f>
        <v>1</v>
      </c>
      <c r="L118" s="11"/>
      <c r="O118" s="11"/>
    </row>
    <row r="119" spans="2:20" ht="24" customHeight="1" x14ac:dyDescent="0.2">
      <c r="B119" s="13" t="s">
        <v>40</v>
      </c>
      <c r="C119" t="s">
        <v>30</v>
      </c>
      <c r="D119" t="s">
        <v>44</v>
      </c>
      <c r="I119" s="11">
        <f>I114</f>
        <v>3</v>
      </c>
      <c r="L119" s="11"/>
      <c r="O119" s="11"/>
    </row>
    <row r="120" spans="2:20" ht="24" customHeight="1" x14ac:dyDescent="0.2">
      <c r="B120" s="13" t="s">
        <v>42</v>
      </c>
      <c r="C120" s="1" t="s">
        <v>41</v>
      </c>
      <c r="I120" s="11">
        <f t="shared" ref="I120" si="0">I118*I119</f>
        <v>3</v>
      </c>
      <c r="L120" s="11"/>
      <c r="O120" s="11"/>
    </row>
    <row r="121" spans="2:20" ht="24" customHeight="1" x14ac:dyDescent="0.2">
      <c r="B121" s="13" t="s">
        <v>39</v>
      </c>
      <c r="C121" t="s">
        <v>30</v>
      </c>
      <c r="D121" t="s">
        <v>27</v>
      </c>
      <c r="I121" s="11">
        <f>G114</f>
        <v>5</v>
      </c>
      <c r="L121" s="11"/>
      <c r="O121" s="11"/>
    </row>
    <row r="122" spans="2:20" ht="24" customHeight="1" x14ac:dyDescent="0.2">
      <c r="B122" s="13" t="s">
        <v>40</v>
      </c>
      <c r="C122" t="s">
        <v>30</v>
      </c>
      <c r="D122" t="s">
        <v>36</v>
      </c>
      <c r="I122" s="11">
        <f>J114</f>
        <v>2</v>
      </c>
      <c r="L122" s="11"/>
      <c r="O122" s="11"/>
    </row>
    <row r="123" spans="2:20" ht="24" customHeight="1" x14ac:dyDescent="0.2">
      <c r="B123" s="13" t="s">
        <v>42</v>
      </c>
      <c r="C123" s="1" t="s">
        <v>41</v>
      </c>
      <c r="I123" s="11">
        <f>I121*I122+I120</f>
        <v>13</v>
      </c>
      <c r="L123" s="11"/>
      <c r="O123" s="11"/>
    </row>
    <row r="124" spans="2:20" ht="24" customHeight="1" x14ac:dyDescent="0.2">
      <c r="B124" s="13" t="s">
        <v>39</v>
      </c>
      <c r="C124" t="s">
        <v>30</v>
      </c>
      <c r="D124" t="s">
        <v>28</v>
      </c>
      <c r="I124" s="11">
        <f>H114</f>
        <v>-1</v>
      </c>
      <c r="L124" s="11"/>
      <c r="O124" s="11"/>
    </row>
    <row r="125" spans="2:20" ht="24" customHeight="1" x14ac:dyDescent="0.2">
      <c r="B125" s="13" t="s">
        <v>40</v>
      </c>
      <c r="C125" t="s">
        <v>30</v>
      </c>
      <c r="D125" t="s">
        <v>37</v>
      </c>
      <c r="I125" s="11">
        <f>K114</f>
        <v>4</v>
      </c>
      <c r="L125" s="11"/>
      <c r="O125" s="11"/>
    </row>
    <row r="126" spans="2:20" ht="24" customHeight="1" x14ac:dyDescent="0.2">
      <c r="B126" s="13" t="s">
        <v>42</v>
      </c>
      <c r="C126" s="1" t="s">
        <v>41</v>
      </c>
      <c r="I126" s="11">
        <f>I124*I125+I123</f>
        <v>9</v>
      </c>
      <c r="L126" s="11"/>
      <c r="O126" s="11"/>
    </row>
    <row r="129" spans="1:20" s="39" customFormat="1" ht="34" x14ac:dyDescent="0.4">
      <c r="A129" s="38" t="s">
        <v>45</v>
      </c>
    </row>
    <row r="131" spans="1:20" ht="24" customHeight="1" x14ac:dyDescent="0.2">
      <c r="B131" t="s">
        <v>60</v>
      </c>
      <c r="J131" t="s">
        <v>16</v>
      </c>
      <c r="K131" t="s">
        <v>33</v>
      </c>
      <c r="L131" t="s">
        <v>34</v>
      </c>
    </row>
    <row r="132" spans="1:20" ht="24" customHeight="1" x14ac:dyDescent="0.2">
      <c r="J132" s="9">
        <v>3</v>
      </c>
      <c r="K132" s="9">
        <v>4</v>
      </c>
      <c r="L132" s="9">
        <v>2</v>
      </c>
    </row>
    <row r="133" spans="1:20" ht="24" customHeight="1" x14ac:dyDescent="0.2">
      <c r="J133" s="12">
        <v>2</v>
      </c>
      <c r="K133" s="12">
        <v>5</v>
      </c>
      <c r="L133" s="12">
        <v>-2</v>
      </c>
    </row>
    <row r="134" spans="1:20" ht="24" customHeight="1" x14ac:dyDescent="0.2">
      <c r="J134" s="10">
        <v>4</v>
      </c>
      <c r="K134" s="10">
        <v>3</v>
      </c>
      <c r="L134" s="10">
        <v>1</v>
      </c>
    </row>
    <row r="136" spans="1:20" ht="24" customHeight="1" x14ac:dyDescent="0.2">
      <c r="E136" t="s">
        <v>31</v>
      </c>
      <c r="F136" s="6">
        <v>1</v>
      </c>
      <c r="G136" s="7">
        <v>5</v>
      </c>
      <c r="H136" s="8">
        <v>-1</v>
      </c>
      <c r="J136" s="11" cm="1">
        <f t="array" ref="J136:L136">MMULT(F136:H136,J132:L134)</f>
        <v>9</v>
      </c>
      <c r="K136" s="11">
        <v>26</v>
      </c>
      <c r="L136" s="11">
        <v>-9</v>
      </c>
    </row>
    <row r="139" spans="1:20" ht="24" customHeight="1" x14ac:dyDescent="0.2">
      <c r="F139" t="s">
        <v>31</v>
      </c>
      <c r="I139" t="s">
        <v>16</v>
      </c>
      <c r="L139" t="s">
        <v>33</v>
      </c>
      <c r="O139" t="s">
        <v>34</v>
      </c>
      <c r="R139" t="s">
        <v>22</v>
      </c>
      <c r="S139" t="s">
        <v>23</v>
      </c>
      <c r="T139" t="s">
        <v>24</v>
      </c>
    </row>
    <row r="140" spans="1:20" ht="24" customHeight="1" x14ac:dyDescent="0.2">
      <c r="B140" t="s">
        <v>61</v>
      </c>
      <c r="F140" s="11" cm="1">
        <f t="array" ref="F140:H140">F136:H136</f>
        <v>1</v>
      </c>
      <c r="G140" s="11">
        <v>5</v>
      </c>
      <c r="H140" s="11">
        <v>-1</v>
      </c>
      <c r="I140" s="11" cm="1">
        <f t="array" ref="I140:K140">TRANSPOSE(J132:J134)</f>
        <v>3</v>
      </c>
      <c r="J140" s="11">
        <v>2</v>
      </c>
      <c r="K140" s="11">
        <v>4</v>
      </c>
      <c r="L140" s="11" cm="1">
        <f t="array" ref="L140:N140">TRANSPOSE(K132:K134)</f>
        <v>4</v>
      </c>
      <c r="M140" s="11">
        <v>5</v>
      </c>
      <c r="N140" s="11">
        <v>3</v>
      </c>
      <c r="O140" s="11" cm="1">
        <f t="array" ref="O140:Q140">TRANSPOSE(L132:L134)</f>
        <v>2</v>
      </c>
      <c r="P140" s="11">
        <v>-2</v>
      </c>
      <c r="Q140" s="11">
        <v>1</v>
      </c>
      <c r="R140" s="11">
        <f>I152</f>
        <v>9</v>
      </c>
      <c r="S140" s="11">
        <f>L152</f>
        <v>29</v>
      </c>
      <c r="T140" s="11">
        <f>O152</f>
        <v>-9</v>
      </c>
    </row>
    <row r="143" spans="1:20" ht="24" customHeight="1" x14ac:dyDescent="0.2">
      <c r="B143" t="s">
        <v>43</v>
      </c>
      <c r="I143" s="13" t="s">
        <v>35</v>
      </c>
      <c r="L143" s="13" t="s">
        <v>1</v>
      </c>
      <c r="O143" s="13" t="s">
        <v>2</v>
      </c>
    </row>
    <row r="144" spans="1:20" ht="24" customHeight="1" x14ac:dyDescent="0.2">
      <c r="B144" s="13" t="s">
        <v>39</v>
      </c>
      <c r="C144" t="s">
        <v>30</v>
      </c>
      <c r="D144" t="s">
        <v>26</v>
      </c>
      <c r="I144" s="11">
        <f>F140</f>
        <v>1</v>
      </c>
      <c r="L144" s="11">
        <f>F140</f>
        <v>1</v>
      </c>
      <c r="O144" s="11">
        <f>F140</f>
        <v>1</v>
      </c>
    </row>
    <row r="145" spans="2:15" ht="24" customHeight="1" x14ac:dyDescent="0.2">
      <c r="B145" s="13" t="s">
        <v>40</v>
      </c>
      <c r="C145" t="s">
        <v>30</v>
      </c>
      <c r="D145" t="s">
        <v>44</v>
      </c>
      <c r="I145" s="11">
        <f>I140</f>
        <v>3</v>
      </c>
      <c r="L145" s="11">
        <f>L140</f>
        <v>4</v>
      </c>
      <c r="O145" s="11">
        <f>O140</f>
        <v>2</v>
      </c>
    </row>
    <row r="146" spans="2:15" ht="24" customHeight="1" x14ac:dyDescent="0.2">
      <c r="B146" s="13" t="s">
        <v>42</v>
      </c>
      <c r="C146" s="1" t="s">
        <v>41</v>
      </c>
      <c r="I146" s="11">
        <f>I144*I145</f>
        <v>3</v>
      </c>
      <c r="L146" s="11">
        <f>L144*L145</f>
        <v>4</v>
      </c>
      <c r="O146" s="11">
        <f>O144*O145</f>
        <v>2</v>
      </c>
    </row>
    <row r="147" spans="2:15" ht="24" customHeight="1" x14ac:dyDescent="0.2">
      <c r="B147" s="13" t="s">
        <v>39</v>
      </c>
      <c r="C147" t="s">
        <v>30</v>
      </c>
      <c r="D147" t="s">
        <v>27</v>
      </c>
      <c r="I147" s="11">
        <f>G140</f>
        <v>5</v>
      </c>
      <c r="L147" s="11">
        <f>G140</f>
        <v>5</v>
      </c>
      <c r="O147" s="11">
        <f>G140</f>
        <v>5</v>
      </c>
    </row>
    <row r="148" spans="2:15" ht="24" customHeight="1" x14ac:dyDescent="0.2">
      <c r="B148" s="13" t="s">
        <v>40</v>
      </c>
      <c r="C148" t="s">
        <v>30</v>
      </c>
      <c r="D148" t="s">
        <v>36</v>
      </c>
      <c r="I148" s="11">
        <f>J140</f>
        <v>2</v>
      </c>
      <c r="L148" s="11">
        <f>M140</f>
        <v>5</v>
      </c>
      <c r="O148" s="11">
        <f>P140</f>
        <v>-2</v>
      </c>
    </row>
    <row r="149" spans="2:15" ht="24" customHeight="1" x14ac:dyDescent="0.2">
      <c r="B149" s="13" t="s">
        <v>42</v>
      </c>
      <c r="C149" s="1" t="s">
        <v>41</v>
      </c>
      <c r="I149" s="11">
        <f>I147*I148+I146</f>
        <v>13</v>
      </c>
      <c r="L149" s="11">
        <f>L147*L148+L146</f>
        <v>29</v>
      </c>
      <c r="O149" s="11">
        <f>O147*O148+O146</f>
        <v>-8</v>
      </c>
    </row>
    <row r="150" spans="2:15" ht="24" customHeight="1" x14ac:dyDescent="0.2">
      <c r="B150" s="13" t="s">
        <v>39</v>
      </c>
      <c r="C150" t="s">
        <v>30</v>
      </c>
      <c r="D150" t="s">
        <v>28</v>
      </c>
      <c r="I150" s="11">
        <f>H140</f>
        <v>-1</v>
      </c>
      <c r="L150" s="11">
        <f>H139</f>
        <v>0</v>
      </c>
      <c r="O150" s="11">
        <f>H140</f>
        <v>-1</v>
      </c>
    </row>
    <row r="151" spans="2:15" ht="24" customHeight="1" x14ac:dyDescent="0.2">
      <c r="B151" s="13" t="s">
        <v>40</v>
      </c>
      <c r="C151" t="s">
        <v>30</v>
      </c>
      <c r="D151" t="s">
        <v>37</v>
      </c>
      <c r="I151" s="11">
        <f>K140</f>
        <v>4</v>
      </c>
      <c r="L151" s="11">
        <f>N140</f>
        <v>3</v>
      </c>
      <c r="O151" s="11">
        <f>Q140</f>
        <v>1</v>
      </c>
    </row>
    <row r="152" spans="2:15" ht="24" customHeight="1" x14ac:dyDescent="0.2">
      <c r="B152" s="13" t="s">
        <v>42</v>
      </c>
      <c r="C152" s="1" t="s">
        <v>41</v>
      </c>
      <c r="I152" s="11">
        <f>I150*I151+I149</f>
        <v>9</v>
      </c>
      <c r="L152" s="11">
        <f>L150*L151+L149</f>
        <v>29</v>
      </c>
      <c r="O152" s="11">
        <f>O150*O151+O149</f>
        <v>-9</v>
      </c>
    </row>
    <row r="153" spans="2:15" ht="24" customHeight="1" x14ac:dyDescent="0.2">
      <c r="B153" s="13" t="s">
        <v>39</v>
      </c>
      <c r="C153" t="s">
        <v>30</v>
      </c>
      <c r="D153" t="s">
        <v>26</v>
      </c>
    </row>
    <row r="154" spans="2:15" ht="24" customHeight="1" x14ac:dyDescent="0.2">
      <c r="B154" s="13" t="s">
        <v>40</v>
      </c>
      <c r="C154" t="s">
        <v>30</v>
      </c>
      <c r="D154" t="s">
        <v>44</v>
      </c>
    </row>
    <row r="155" spans="2:15" ht="24" customHeight="1" x14ac:dyDescent="0.2">
      <c r="B155" s="13" t="s">
        <v>42</v>
      </c>
      <c r="C155" s="1" t="s">
        <v>41</v>
      </c>
    </row>
    <row r="156" spans="2:15" ht="24" customHeight="1" x14ac:dyDescent="0.2">
      <c r="B156" s="13" t="s">
        <v>39</v>
      </c>
      <c r="C156" t="s">
        <v>30</v>
      </c>
      <c r="D156" t="s">
        <v>27</v>
      </c>
    </row>
    <row r="157" spans="2:15" ht="24" customHeight="1" x14ac:dyDescent="0.2">
      <c r="B157" s="13" t="s">
        <v>40</v>
      </c>
      <c r="C157" t="s">
        <v>30</v>
      </c>
      <c r="D157" t="s">
        <v>36</v>
      </c>
    </row>
    <row r="158" spans="2:15" ht="24" customHeight="1" x14ac:dyDescent="0.2">
      <c r="B158" s="13" t="s">
        <v>42</v>
      </c>
      <c r="C158" s="1" t="s">
        <v>41</v>
      </c>
    </row>
    <row r="159" spans="2:15" ht="24" customHeight="1" x14ac:dyDescent="0.2">
      <c r="B159" s="13" t="s">
        <v>39</v>
      </c>
      <c r="C159" t="s">
        <v>30</v>
      </c>
      <c r="D159" t="s">
        <v>28</v>
      </c>
    </row>
    <row r="160" spans="2:15" ht="24" customHeight="1" x14ac:dyDescent="0.2">
      <c r="B160" s="13" t="s">
        <v>40</v>
      </c>
      <c r="C160" t="s">
        <v>30</v>
      </c>
      <c r="D160" t="s">
        <v>37</v>
      </c>
    </row>
    <row r="161" spans="1:12" ht="24" customHeight="1" x14ac:dyDescent="0.2">
      <c r="B161" s="13" t="s">
        <v>42</v>
      </c>
      <c r="C161" s="1" t="s">
        <v>41</v>
      </c>
    </row>
    <row r="162" spans="1:12" ht="24" customHeight="1" x14ac:dyDescent="0.2">
      <c r="B162" s="13" t="s">
        <v>39</v>
      </c>
      <c r="C162" t="s">
        <v>30</v>
      </c>
      <c r="D162" t="s">
        <v>26</v>
      </c>
    </row>
    <row r="163" spans="1:12" ht="24" customHeight="1" x14ac:dyDescent="0.2">
      <c r="B163" s="13" t="s">
        <v>40</v>
      </c>
      <c r="C163" t="s">
        <v>30</v>
      </c>
      <c r="D163" t="s">
        <v>44</v>
      </c>
    </row>
    <row r="164" spans="1:12" ht="24" customHeight="1" x14ac:dyDescent="0.2">
      <c r="B164" s="13" t="s">
        <v>42</v>
      </c>
      <c r="C164" s="1" t="s">
        <v>41</v>
      </c>
    </row>
    <row r="165" spans="1:12" ht="24" customHeight="1" x14ac:dyDescent="0.2">
      <c r="B165" s="13" t="s">
        <v>39</v>
      </c>
      <c r="C165" t="s">
        <v>30</v>
      </c>
      <c r="D165" t="s">
        <v>27</v>
      </c>
    </row>
    <row r="166" spans="1:12" ht="24" customHeight="1" x14ac:dyDescent="0.2">
      <c r="B166" s="13" t="s">
        <v>40</v>
      </c>
      <c r="C166" t="s">
        <v>30</v>
      </c>
      <c r="D166" t="s">
        <v>36</v>
      </c>
    </row>
    <row r="167" spans="1:12" ht="24" customHeight="1" x14ac:dyDescent="0.2">
      <c r="B167" s="13" t="s">
        <v>42</v>
      </c>
      <c r="C167" s="1" t="s">
        <v>41</v>
      </c>
    </row>
    <row r="168" spans="1:12" ht="24" customHeight="1" x14ac:dyDescent="0.2">
      <c r="B168" s="13" t="s">
        <v>39</v>
      </c>
      <c r="C168" t="s">
        <v>30</v>
      </c>
      <c r="D168" t="s">
        <v>28</v>
      </c>
    </row>
    <row r="169" spans="1:12" ht="24" customHeight="1" x14ac:dyDescent="0.2">
      <c r="B169" s="13" t="s">
        <v>40</v>
      </c>
      <c r="C169" t="s">
        <v>30</v>
      </c>
      <c r="D169" t="s">
        <v>37</v>
      </c>
    </row>
    <row r="170" spans="1:12" ht="24" customHeight="1" x14ac:dyDescent="0.2">
      <c r="B170" s="13" t="s">
        <v>42</v>
      </c>
      <c r="C170" s="1" t="s">
        <v>41</v>
      </c>
    </row>
    <row r="173" spans="1:12" s="39" customFormat="1" ht="34" x14ac:dyDescent="0.4">
      <c r="A173" s="38" t="s">
        <v>57</v>
      </c>
    </row>
    <row r="175" spans="1:12" ht="24" customHeight="1" x14ac:dyDescent="0.2">
      <c r="B175" t="s">
        <v>60</v>
      </c>
      <c r="J175" t="s">
        <v>16</v>
      </c>
      <c r="K175" t="s">
        <v>33</v>
      </c>
      <c r="L175" t="s">
        <v>34</v>
      </c>
    </row>
    <row r="176" spans="1:12" ht="24" customHeight="1" x14ac:dyDescent="0.2">
      <c r="J176" s="9">
        <v>3</v>
      </c>
      <c r="K176" s="9">
        <v>4</v>
      </c>
      <c r="L176" s="9">
        <v>2</v>
      </c>
    </row>
    <row r="177" spans="2:17" ht="24" customHeight="1" x14ac:dyDescent="0.2">
      <c r="J177" s="12">
        <v>2</v>
      </c>
      <c r="K177" s="12">
        <v>5</v>
      </c>
      <c r="L177" s="12">
        <v>-2</v>
      </c>
    </row>
    <row r="178" spans="2:17" ht="24" customHeight="1" x14ac:dyDescent="0.2">
      <c r="J178" s="10">
        <v>2</v>
      </c>
      <c r="K178" s="10">
        <v>3</v>
      </c>
      <c r="L178" s="10">
        <v>1</v>
      </c>
    </row>
    <row r="179" spans="2:17" ht="24" customHeight="1" x14ac:dyDescent="0.2">
      <c r="J179" s="13"/>
      <c r="K179" s="13"/>
      <c r="L179" s="13"/>
    </row>
    <row r="180" spans="2:17" ht="24" customHeight="1" x14ac:dyDescent="0.2">
      <c r="J180" t="s">
        <v>22</v>
      </c>
      <c r="K180" t="s">
        <v>23</v>
      </c>
      <c r="L180" t="s">
        <v>24</v>
      </c>
    </row>
    <row r="181" spans="2:17" ht="24" customHeight="1" x14ac:dyDescent="0.2">
      <c r="E181" t="s">
        <v>31</v>
      </c>
      <c r="F181" s="6">
        <v>1</v>
      </c>
      <c r="G181" s="7">
        <v>5</v>
      </c>
      <c r="H181" s="8">
        <v>-1</v>
      </c>
      <c r="J181" s="11" cm="1">
        <f t="array" ref="J181:L181">MMULT(F181:H181,J176:L178)</f>
        <v>11</v>
      </c>
      <c r="K181" s="11">
        <v>26</v>
      </c>
      <c r="L181" s="11">
        <v>-9</v>
      </c>
    </row>
    <row r="184" spans="2:17" ht="24" customHeight="1" x14ac:dyDescent="0.2">
      <c r="I184" t="s">
        <v>32</v>
      </c>
    </row>
    <row r="185" spans="2:17" ht="24" customHeight="1" x14ac:dyDescent="0.2">
      <c r="F185" t="s">
        <v>31</v>
      </c>
      <c r="I185" t="s">
        <v>16</v>
      </c>
      <c r="L185" t="s">
        <v>33</v>
      </c>
      <c r="O185" t="s">
        <v>34</v>
      </c>
    </row>
    <row r="186" spans="2:17" ht="24" customHeight="1" x14ac:dyDescent="0.2">
      <c r="B186" t="s">
        <v>61</v>
      </c>
      <c r="F186" s="11" cm="1">
        <f t="array" ref="F186:H186">F181:H181</f>
        <v>1</v>
      </c>
      <c r="G186" s="11">
        <v>5</v>
      </c>
      <c r="H186" s="11">
        <v>-1</v>
      </c>
      <c r="I186" s="11" cm="1">
        <f t="array" ref="I186:K186">TRANSPOSE(J176:J178)</f>
        <v>3</v>
      </c>
      <c r="J186" s="11">
        <v>2</v>
      </c>
      <c r="K186" s="11">
        <v>2</v>
      </c>
      <c r="L186" s="11" cm="1">
        <f t="array" ref="L186:N186">TRANSPOSE(K176:K178)</f>
        <v>4</v>
      </c>
      <c r="M186" s="11">
        <v>5</v>
      </c>
      <c r="N186" s="11">
        <v>3</v>
      </c>
      <c r="O186" s="11" cm="1">
        <f t="array" ref="O186:Q186">TRANSPOSE(L176:L178)</f>
        <v>2</v>
      </c>
      <c r="P186" s="11">
        <v>-2</v>
      </c>
      <c r="Q186" s="11">
        <v>1</v>
      </c>
    </row>
    <row r="189" spans="2:17" ht="24" customHeight="1" x14ac:dyDescent="0.2">
      <c r="J189" s="13" t="s">
        <v>58</v>
      </c>
      <c r="K189" s="13" t="s">
        <v>58</v>
      </c>
      <c r="L189" s="13" t="s">
        <v>58</v>
      </c>
    </row>
    <row r="190" spans="2:17" ht="24" customHeight="1" x14ac:dyDescent="0.2">
      <c r="B190" t="s">
        <v>43</v>
      </c>
      <c r="F190" s="13" t="s">
        <v>35</v>
      </c>
      <c r="G190" s="13" t="s">
        <v>1</v>
      </c>
      <c r="H190" s="13" t="s">
        <v>2</v>
      </c>
      <c r="I190" s="13" t="s">
        <v>165</v>
      </c>
      <c r="J190" s="13">
        <v>0</v>
      </c>
      <c r="K190" s="13">
        <v>1</v>
      </c>
      <c r="L190" s="13">
        <v>2</v>
      </c>
    </row>
    <row r="191" spans="2:17" ht="24" customHeight="1" x14ac:dyDescent="0.2">
      <c r="B191" s="13" t="s">
        <v>39</v>
      </c>
      <c r="C191" t="s">
        <v>30</v>
      </c>
      <c r="D191" t="s">
        <v>26</v>
      </c>
      <c r="F191" s="11">
        <f>F186</f>
        <v>1</v>
      </c>
      <c r="G191" s="11">
        <f>F186</f>
        <v>1</v>
      </c>
      <c r="H191" s="11">
        <f>F186</f>
        <v>1</v>
      </c>
      <c r="I191" s="13">
        <v>0</v>
      </c>
      <c r="J191" s="11">
        <f ca="1">_xlfn.LET(_xlpm.tid,J189,_xlpm.A, F186, OFFSET(_xlpm.A, 0, 0))</f>
        <v>1</v>
      </c>
      <c r="K191" s="11">
        <f ca="1">_xlfn.LET(_xlpm.tid,K189,_xlpm.A, F186, OFFSET(_xlpm.A, 0, 0))</f>
        <v>1</v>
      </c>
      <c r="L191" s="11"/>
      <c r="N191" t="str">
        <f ca="1">_xlfn.FORMULATEXT(J191)</f>
        <v>=LET(tid,J189,A, F186, OFFSET(A, 0, 0))</v>
      </c>
    </row>
    <row r="192" spans="2:17" ht="24" customHeight="1" x14ac:dyDescent="0.2">
      <c r="B192" s="13" t="s">
        <v>40</v>
      </c>
      <c r="C192" t="s">
        <v>30</v>
      </c>
      <c r="D192" t="s">
        <v>44</v>
      </c>
      <c r="F192" s="11">
        <f>I186</f>
        <v>3</v>
      </c>
      <c r="G192" s="11">
        <f>L186</f>
        <v>4</v>
      </c>
      <c r="H192" s="11">
        <f>O186</f>
        <v>2</v>
      </c>
      <c r="I192" s="13"/>
      <c r="J192" s="11">
        <f ca="1">_xlfn.LET(_xlpm.tid,J190,_xlpm.B, I186, OFFSET(_xlpm.B, 0, 3*_xlpm.tid))</f>
        <v>3</v>
      </c>
      <c r="K192" s="11">
        <f ca="1">_xlfn.LET(_xlpm.tid,K190,_xlpm.B, I186, OFFSET(_xlpm.B, 0, 3*_xlpm.tid))</f>
        <v>4</v>
      </c>
      <c r="L192" s="11"/>
      <c r="N192" t="str">
        <f ca="1">_xlfn.FORMULATEXT(J192)</f>
        <v>=LET(tid,J190,B, I186, OFFSET(B, 0, 3*tid))</v>
      </c>
    </row>
    <row r="193" spans="1:14" ht="24" customHeight="1" x14ac:dyDescent="0.2">
      <c r="B193" s="13" t="s">
        <v>42</v>
      </c>
      <c r="C193" s="1" t="s">
        <v>41</v>
      </c>
      <c r="F193" s="11">
        <f t="shared" ref="F193:H193" si="1">F191*F192</f>
        <v>3</v>
      </c>
      <c r="G193" s="11">
        <f t="shared" si="1"/>
        <v>4</v>
      </c>
      <c r="H193" s="11">
        <f t="shared" si="1"/>
        <v>2</v>
      </c>
      <c r="I193" s="13"/>
      <c r="J193" s="11">
        <f t="shared" ref="J193:L193" ca="1" si="2">J191*J192</f>
        <v>3</v>
      </c>
      <c r="K193" s="11">
        <f t="shared" ca="1" si="2"/>
        <v>4</v>
      </c>
      <c r="L193" s="11">
        <f t="shared" si="2"/>
        <v>0</v>
      </c>
    </row>
    <row r="194" spans="1:14" ht="24" customHeight="1" x14ac:dyDescent="0.2">
      <c r="B194" s="13" t="s">
        <v>39</v>
      </c>
      <c r="C194" t="s">
        <v>30</v>
      </c>
      <c r="D194" t="s">
        <v>27</v>
      </c>
      <c r="F194" s="11">
        <f>G186</f>
        <v>5</v>
      </c>
      <c r="G194" s="11">
        <f>G186</f>
        <v>5</v>
      </c>
      <c r="H194" s="11">
        <f>G186</f>
        <v>5</v>
      </c>
      <c r="I194" s="13">
        <v>1</v>
      </c>
      <c r="J194" s="11">
        <f ca="1">_xlfn.LET(_xlpm.tid,J190,_xlpm.A, F186, OFFSET(_xlpm.A, 0, 1))</f>
        <v>5</v>
      </c>
      <c r="K194" s="11">
        <f ca="1">_xlfn.LET(_xlpm.tid,K190,_xlpm.A, F186, OFFSET(_xlpm.A, 0, 1))</f>
        <v>5</v>
      </c>
      <c r="L194" s="11"/>
      <c r="N194" t="str">
        <f ca="1">_xlfn.FORMULATEXT(J194)</f>
        <v>=LET(tid,J190,A, F186, OFFSET(A, 0, 1))</v>
      </c>
    </row>
    <row r="195" spans="1:14" ht="24" customHeight="1" x14ac:dyDescent="0.2">
      <c r="B195" s="13" t="s">
        <v>40</v>
      </c>
      <c r="C195" t="s">
        <v>30</v>
      </c>
      <c r="D195" t="s">
        <v>36</v>
      </c>
      <c r="F195" s="11">
        <f>J186</f>
        <v>2</v>
      </c>
      <c r="G195" s="11">
        <f>M186</f>
        <v>5</v>
      </c>
      <c r="H195" s="11">
        <f>P186</f>
        <v>-2</v>
      </c>
      <c r="I195" s="13"/>
      <c r="J195" s="11">
        <f ca="1">_xlfn.LET(_xlpm.tid,J190,_xlpm.B, I186, OFFSET(_xlpm.B, 0, 3*_xlpm.tid + 1))</f>
        <v>2</v>
      </c>
      <c r="K195" s="11">
        <f ca="1">_xlfn.LET(_xlpm.tid,K190,_xlpm.B, I186, OFFSET(_xlpm.B, 0, 3*_xlpm.tid + 1))</f>
        <v>5</v>
      </c>
      <c r="L195" s="11"/>
      <c r="N195" t="str">
        <f ca="1">_xlfn.FORMULATEXT(J195)</f>
        <v>=LET(tid,J190,B, I186, OFFSET(B, 0, 3*tid + 1))</v>
      </c>
    </row>
    <row r="196" spans="1:14" ht="24" customHeight="1" x14ac:dyDescent="0.2">
      <c r="B196" s="13" t="s">
        <v>42</v>
      </c>
      <c r="C196" s="1" t="s">
        <v>41</v>
      </c>
      <c r="F196" s="11">
        <f>F194*F195+F193</f>
        <v>13</v>
      </c>
      <c r="G196" s="11">
        <f>G194*G195+G193</f>
        <v>29</v>
      </c>
      <c r="H196" s="11">
        <f>H194*H195+H193</f>
        <v>-8</v>
      </c>
      <c r="I196" s="13"/>
      <c r="J196" s="11">
        <f t="shared" ref="J196:L196" ca="1" si="3">J194*J195+J193</f>
        <v>13</v>
      </c>
      <c r="K196" s="11">
        <f t="shared" ca="1" si="3"/>
        <v>29</v>
      </c>
      <c r="L196" s="11">
        <f t="shared" si="3"/>
        <v>0</v>
      </c>
    </row>
    <row r="197" spans="1:14" ht="24" customHeight="1" x14ac:dyDescent="0.2">
      <c r="B197" s="13" t="s">
        <v>39</v>
      </c>
      <c r="C197" t="s">
        <v>30</v>
      </c>
      <c r="D197" t="s">
        <v>28</v>
      </c>
      <c r="F197" s="11">
        <f>H186</f>
        <v>-1</v>
      </c>
      <c r="G197" s="11">
        <f>H186</f>
        <v>-1</v>
      </c>
      <c r="H197" s="11">
        <f>H186</f>
        <v>-1</v>
      </c>
      <c r="I197" s="13">
        <v>2</v>
      </c>
      <c r="J197" s="11">
        <f ca="1">_xlfn.LET(_xlpm.tid,J190,_xlpm.A, F186, OFFSET(_xlpm.A, 0, 2))</f>
        <v>-1</v>
      </c>
      <c r="K197" s="11">
        <f ca="1">_xlfn.LET(_xlpm.idx,K190,_xlpm.A, F186, OFFSET(_xlpm.A, 0, 2))</f>
        <v>-1</v>
      </c>
      <c r="L197" s="11"/>
      <c r="N197" t="str">
        <f ca="1">_xlfn.FORMULATEXT(J197)</f>
        <v>=LET(tid,J190,A, F186, OFFSET(A, 0, 2))</v>
      </c>
    </row>
    <row r="198" spans="1:14" ht="24" customHeight="1" x14ac:dyDescent="0.2">
      <c r="B198" s="13" t="s">
        <v>40</v>
      </c>
      <c r="C198" t="s">
        <v>30</v>
      </c>
      <c r="D198" t="s">
        <v>37</v>
      </c>
      <c r="F198" s="11">
        <f>K186</f>
        <v>2</v>
      </c>
      <c r="G198" s="11">
        <f>N186</f>
        <v>3</v>
      </c>
      <c r="H198" s="11">
        <f>Q186</f>
        <v>1</v>
      </c>
      <c r="J198" s="11">
        <f ca="1">_xlfn.LET(_xlpm.tid,J190,_xlpm.B, I186, OFFSET(_xlpm.B, 0, 3*_xlpm.tid + 2))</f>
        <v>2</v>
      </c>
      <c r="K198" s="11">
        <f ca="1">_xlfn.LET(_xlpm.tid,K190,_xlpm.B, I186, OFFSET(_xlpm.B, 0, 3*_xlpm.tid + 2))</f>
        <v>3</v>
      </c>
      <c r="L198" s="11"/>
      <c r="N198" t="str">
        <f ca="1">_xlfn.FORMULATEXT(J198)</f>
        <v>=LET(tid,J190,B, I186, OFFSET(B, 0, 3*tid + 2))</v>
      </c>
    </row>
    <row r="199" spans="1:14" ht="24" customHeight="1" x14ac:dyDescent="0.2">
      <c r="B199" s="13" t="s">
        <v>42</v>
      </c>
      <c r="C199" s="1" t="s">
        <v>41</v>
      </c>
      <c r="F199" s="11">
        <f>F197*F198+F196</f>
        <v>11</v>
      </c>
      <c r="G199" s="11">
        <f>G197*G198+G196</f>
        <v>26</v>
      </c>
      <c r="H199" s="11">
        <f>H197*H198+H196</f>
        <v>-9</v>
      </c>
      <c r="J199" s="11">
        <f ca="1">J197*J198+J196</f>
        <v>11</v>
      </c>
      <c r="K199" s="11">
        <f ca="1">K197*K198+K196</f>
        <v>26</v>
      </c>
      <c r="L199" s="11">
        <f>L197*L198+L196</f>
        <v>0</v>
      </c>
    </row>
    <row r="202" spans="1:14" s="39" customFormat="1" ht="34" x14ac:dyDescent="0.4">
      <c r="A202" s="38" t="s">
        <v>55</v>
      </c>
    </row>
    <row r="205" spans="1:14" ht="24" customHeight="1" x14ac:dyDescent="0.25">
      <c r="A205" s="15" cm="1">
        <f t="array" ref="A205:A220">_xlfn.SEQUENCE(16,1,1)</f>
        <v>1</v>
      </c>
      <c r="B205" s="14" t="s">
        <v>53</v>
      </c>
    </row>
    <row r="206" spans="1:14" ht="24" customHeight="1" x14ac:dyDescent="0.25">
      <c r="A206" s="15">
        <v>2</v>
      </c>
      <c r="B206" s="14" t="s">
        <v>54</v>
      </c>
    </row>
    <row r="207" spans="1:14" ht="24" customHeight="1" x14ac:dyDescent="0.2">
      <c r="A207" s="15">
        <v>3</v>
      </c>
    </row>
    <row r="208" spans="1:14" ht="24" customHeight="1" x14ac:dyDescent="0.25">
      <c r="A208" s="15">
        <v>4</v>
      </c>
      <c r="B208" s="14" t="s">
        <v>52</v>
      </c>
    </row>
    <row r="209" spans="1:17" ht="24" customHeight="1" x14ac:dyDescent="0.25">
      <c r="A209" s="15">
        <v>5</v>
      </c>
      <c r="B209" s="14" t="s">
        <v>166</v>
      </c>
    </row>
    <row r="210" spans="1:17" ht="24" customHeight="1" x14ac:dyDescent="0.2">
      <c r="A210" s="15">
        <v>6</v>
      </c>
    </row>
    <row r="211" spans="1:17" ht="24" customHeight="1" x14ac:dyDescent="0.25">
      <c r="A211" s="15">
        <v>7</v>
      </c>
      <c r="B211" s="14" t="s">
        <v>51</v>
      </c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</row>
    <row r="212" spans="1:17" ht="24" customHeight="1" x14ac:dyDescent="0.25">
      <c r="A212" s="15">
        <v>8</v>
      </c>
      <c r="B212" s="14"/>
      <c r="C212" s="14" t="s">
        <v>56</v>
      </c>
      <c r="D212" s="14"/>
      <c r="E212" s="14"/>
      <c r="F212" s="14"/>
      <c r="G212" s="14"/>
      <c r="H212" s="14"/>
      <c r="I212" s="14"/>
      <c r="J212" s="14"/>
      <c r="K212" s="14"/>
      <c r="L212" s="14"/>
      <c r="M212" s="14"/>
    </row>
    <row r="213" spans="1:17" ht="24" customHeight="1" x14ac:dyDescent="0.25">
      <c r="A213" s="15">
        <v>9</v>
      </c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</row>
    <row r="214" spans="1:17" ht="24" customHeight="1" x14ac:dyDescent="0.25">
      <c r="A214" s="15">
        <v>10</v>
      </c>
      <c r="B214" s="14"/>
      <c r="C214" s="14" t="s">
        <v>50</v>
      </c>
      <c r="D214" s="14"/>
      <c r="E214" s="14"/>
      <c r="F214" s="14"/>
      <c r="G214" s="14"/>
      <c r="H214" s="14"/>
      <c r="I214" s="14"/>
      <c r="J214" s="14"/>
      <c r="K214" s="14"/>
      <c r="L214" s="14"/>
      <c r="M214" s="14"/>
    </row>
    <row r="215" spans="1:17" ht="24" customHeight="1" x14ac:dyDescent="0.25">
      <c r="A215" s="15">
        <v>11</v>
      </c>
      <c r="B215" s="14"/>
      <c r="C215" s="14" t="s">
        <v>48</v>
      </c>
      <c r="D215" s="14"/>
      <c r="E215" s="14"/>
      <c r="F215" s="14"/>
      <c r="G215" s="14"/>
      <c r="H215" s="14"/>
      <c r="I215" s="14"/>
      <c r="J215" s="14"/>
      <c r="K215" s="14"/>
      <c r="L215" s="14"/>
      <c r="M215" s="14"/>
    </row>
    <row r="216" spans="1:17" ht="24" customHeight="1" thickBot="1" x14ac:dyDescent="0.3">
      <c r="A216" s="15">
        <v>12</v>
      </c>
      <c r="B216" s="14"/>
      <c r="C216" s="14" t="s">
        <v>47</v>
      </c>
      <c r="D216" s="14"/>
      <c r="E216" s="14"/>
      <c r="F216" s="14"/>
      <c r="G216" s="14"/>
      <c r="H216" s="14"/>
      <c r="I216" s="14"/>
      <c r="J216" s="14"/>
      <c r="K216" s="14"/>
      <c r="L216" s="14"/>
      <c r="M216" s="14"/>
    </row>
    <row r="217" spans="1:17" ht="24" customHeight="1" thickBot="1" x14ac:dyDescent="0.3">
      <c r="A217" s="15">
        <v>13</v>
      </c>
      <c r="B217" s="14"/>
      <c r="C217" s="14"/>
      <c r="D217" s="63" t="s">
        <v>167</v>
      </c>
      <c r="E217" s="14"/>
      <c r="F217" s="14" t="s">
        <v>162</v>
      </c>
      <c r="G217" s="64"/>
      <c r="H217" s="14" t="s">
        <v>163</v>
      </c>
      <c r="I217" s="14" t="s">
        <v>0</v>
      </c>
      <c r="J217" s="14" t="s">
        <v>164</v>
      </c>
      <c r="K217" s="58"/>
      <c r="L217" s="59"/>
      <c r="M217" s="60"/>
      <c r="N217" s="59"/>
      <c r="O217" s="61"/>
      <c r="P217" s="62"/>
      <c r="Q217" s="14" t="s">
        <v>163</v>
      </c>
    </row>
    <row r="218" spans="1:17" ht="24" customHeight="1" x14ac:dyDescent="0.25">
      <c r="A218" s="15">
        <v>14</v>
      </c>
      <c r="B218" s="14"/>
      <c r="C218" s="14" t="s">
        <v>46</v>
      </c>
    </row>
    <row r="219" spans="1:17" ht="24" customHeight="1" x14ac:dyDescent="0.25">
      <c r="A219" s="15">
        <v>15</v>
      </c>
      <c r="B219" s="14"/>
      <c r="C219" s="14" t="s">
        <v>49</v>
      </c>
      <c r="D219" s="14"/>
      <c r="E219" s="14"/>
      <c r="F219" s="14"/>
      <c r="G219" s="14"/>
      <c r="H219" s="14"/>
      <c r="I219" s="14"/>
      <c r="J219" s="14"/>
      <c r="K219" s="14"/>
      <c r="L219" s="14"/>
      <c r="M219" s="14"/>
    </row>
    <row r="220" spans="1:17" ht="24" customHeight="1" x14ac:dyDescent="0.25">
      <c r="A220" s="15">
        <v>16</v>
      </c>
      <c r="B220" s="14" t="s">
        <v>46</v>
      </c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</row>
    <row r="223" spans="1:17" s="37" customFormat="1" ht="70" customHeight="1" x14ac:dyDescent="0.2">
      <c r="A223" s="36" t="s">
        <v>102</v>
      </c>
    </row>
    <row r="226" spans="1:53" s="39" customFormat="1" ht="34" x14ac:dyDescent="0.4">
      <c r="A226" s="38" t="s">
        <v>116</v>
      </c>
    </row>
    <row r="228" spans="1:53" ht="24" customHeight="1" x14ac:dyDescent="0.2">
      <c r="B228" t="s">
        <v>60</v>
      </c>
      <c r="J228" t="s">
        <v>104</v>
      </c>
      <c r="K228" t="s">
        <v>16</v>
      </c>
      <c r="L228" t="s">
        <v>33</v>
      </c>
    </row>
    <row r="229" spans="1:53" ht="24" customHeight="1" x14ac:dyDescent="0.2">
      <c r="J229" s="9">
        <v>2</v>
      </c>
      <c r="K229" s="9">
        <v>0</v>
      </c>
      <c r="L229" s="9">
        <v>0</v>
      </c>
      <c r="M229" s="9">
        <v>2</v>
      </c>
      <c r="N229" s="9">
        <v>2</v>
      </c>
      <c r="O229" s="9">
        <v>1</v>
      </c>
      <c r="P229" s="9">
        <v>2</v>
      </c>
      <c r="Q229" s="9">
        <v>3</v>
      </c>
      <c r="R229" s="9">
        <v>1</v>
      </c>
      <c r="S229" s="9">
        <v>1</v>
      </c>
      <c r="T229" s="9">
        <v>-1</v>
      </c>
      <c r="U229" s="9">
        <v>3</v>
      </c>
      <c r="V229" s="9">
        <v>-1</v>
      </c>
      <c r="W229" s="9">
        <v>1</v>
      </c>
      <c r="X229" s="9">
        <v>1</v>
      </c>
    </row>
    <row r="230" spans="1:53" ht="24" customHeight="1" x14ac:dyDescent="0.2">
      <c r="J230" s="12">
        <v>0</v>
      </c>
      <c r="K230" s="12">
        <v>0</v>
      </c>
      <c r="L230" s="12">
        <v>-1</v>
      </c>
      <c r="M230" s="12">
        <v>0</v>
      </c>
      <c r="N230" s="12">
        <v>1</v>
      </c>
      <c r="O230" s="12">
        <v>-1</v>
      </c>
      <c r="P230" s="12">
        <v>1</v>
      </c>
      <c r="Q230" s="12">
        <v>1</v>
      </c>
      <c r="R230" s="12">
        <v>0</v>
      </c>
      <c r="S230" s="12">
        <v>-1</v>
      </c>
      <c r="T230" s="12">
        <v>1</v>
      </c>
      <c r="U230" s="12">
        <v>-1</v>
      </c>
      <c r="V230" s="12">
        <v>1</v>
      </c>
      <c r="W230" s="12">
        <v>3</v>
      </c>
      <c r="X230" s="12">
        <v>1</v>
      </c>
    </row>
    <row r="231" spans="1:53" ht="24" customHeight="1" x14ac:dyDescent="0.2">
      <c r="J231" s="10">
        <v>1</v>
      </c>
      <c r="K231" s="10">
        <v>3</v>
      </c>
      <c r="L231" s="10">
        <v>-1</v>
      </c>
      <c r="M231" s="10">
        <v>0</v>
      </c>
      <c r="N231" s="10">
        <v>3</v>
      </c>
      <c r="O231" s="10">
        <v>-1</v>
      </c>
      <c r="P231" s="10">
        <v>2</v>
      </c>
      <c r="Q231" s="10">
        <v>2</v>
      </c>
      <c r="R231" s="10">
        <v>1</v>
      </c>
      <c r="S231" s="10">
        <v>3</v>
      </c>
      <c r="T231" s="10">
        <v>1</v>
      </c>
      <c r="U231" s="10">
        <v>0</v>
      </c>
      <c r="V231" s="10">
        <v>2</v>
      </c>
      <c r="W231" s="10">
        <v>3</v>
      </c>
      <c r="X231" s="10">
        <v>3</v>
      </c>
    </row>
    <row r="232" spans="1:53" ht="24" customHeight="1" x14ac:dyDescent="0.2">
      <c r="J232" s="13"/>
      <c r="K232" s="13"/>
      <c r="L232" s="13"/>
    </row>
    <row r="233" spans="1:53" ht="24" customHeight="1" x14ac:dyDescent="0.2">
      <c r="J233" t="s">
        <v>21</v>
      </c>
      <c r="K233" t="s">
        <v>22</v>
      </c>
      <c r="L233" t="s">
        <v>23</v>
      </c>
    </row>
    <row r="234" spans="1:53" ht="24" customHeight="1" x14ac:dyDescent="0.2">
      <c r="E234" t="s">
        <v>31</v>
      </c>
      <c r="F234" s="6">
        <v>1</v>
      </c>
      <c r="G234" s="7">
        <v>5</v>
      </c>
      <c r="H234" s="8">
        <v>-1</v>
      </c>
      <c r="J234" s="11" cm="1">
        <f t="array" ref="J234:X234">MMULT(F234:H234,J229:X231)</f>
        <v>1</v>
      </c>
      <c r="K234" s="11">
        <v>-3</v>
      </c>
      <c r="L234" s="11">
        <v>-4</v>
      </c>
      <c r="M234" s="11">
        <v>2</v>
      </c>
      <c r="N234" s="11">
        <v>4</v>
      </c>
      <c r="O234" s="11">
        <v>-3</v>
      </c>
      <c r="P234" s="11">
        <v>5</v>
      </c>
      <c r="Q234" s="11">
        <v>6</v>
      </c>
      <c r="R234" s="11">
        <v>0</v>
      </c>
      <c r="S234" s="11">
        <v>-7</v>
      </c>
      <c r="T234" s="11">
        <v>3</v>
      </c>
      <c r="U234" s="11">
        <v>-2</v>
      </c>
      <c r="V234" s="11">
        <v>2</v>
      </c>
      <c r="W234" s="11">
        <v>13</v>
      </c>
      <c r="X234" s="11">
        <v>3</v>
      </c>
    </row>
    <row r="237" spans="1:53" ht="24" customHeight="1" x14ac:dyDescent="0.2">
      <c r="I237" t="s">
        <v>32</v>
      </c>
    </row>
    <row r="238" spans="1:53" ht="24" customHeight="1" x14ac:dyDescent="0.2">
      <c r="F238" t="s">
        <v>31</v>
      </c>
      <c r="I238" t="s">
        <v>104</v>
      </c>
      <c r="L238" t="s">
        <v>16</v>
      </c>
      <c r="O238" t="s">
        <v>33</v>
      </c>
      <c r="R238" t="s">
        <v>34</v>
      </c>
      <c r="U238" t="s">
        <v>105</v>
      </c>
      <c r="X238" t="s">
        <v>106</v>
      </c>
      <c r="AA238" t="s">
        <v>107</v>
      </c>
      <c r="AD238" t="s">
        <v>108</v>
      </c>
      <c r="AG238" t="s">
        <v>109</v>
      </c>
      <c r="AJ238" t="s">
        <v>110</v>
      </c>
      <c r="AM238" t="s">
        <v>111</v>
      </c>
      <c r="AP238" t="s">
        <v>112</v>
      </c>
      <c r="AS238" t="s">
        <v>113</v>
      </c>
      <c r="AV238" t="s">
        <v>114</v>
      </c>
      <c r="AY238" t="s">
        <v>115</v>
      </c>
    </row>
    <row r="239" spans="1:53" ht="24" customHeight="1" x14ac:dyDescent="0.2">
      <c r="B239" t="s">
        <v>61</v>
      </c>
      <c r="F239" s="11" cm="1">
        <f t="array" ref="F239:H239">F234:H234</f>
        <v>1</v>
      </c>
      <c r="G239" s="11">
        <v>5</v>
      </c>
      <c r="H239" s="11">
        <v>-1</v>
      </c>
      <c r="I239" s="11" cm="1">
        <f t="array" ref="I239:BA239">_xlfn.TOROW(J229:X231,,TRUE)</f>
        <v>2</v>
      </c>
      <c r="J239" s="11">
        <v>0</v>
      </c>
      <c r="K239" s="11">
        <v>1</v>
      </c>
      <c r="L239" s="11">
        <v>0</v>
      </c>
      <c r="M239" s="11">
        <v>0</v>
      </c>
      <c r="N239" s="11">
        <v>3</v>
      </c>
      <c r="O239" s="11">
        <v>0</v>
      </c>
      <c r="P239" s="11">
        <v>-1</v>
      </c>
      <c r="Q239" s="11">
        <v>-1</v>
      </c>
      <c r="R239" s="11">
        <v>2</v>
      </c>
      <c r="S239" s="11">
        <v>0</v>
      </c>
      <c r="T239" s="11">
        <v>0</v>
      </c>
      <c r="U239" s="11">
        <v>2</v>
      </c>
      <c r="V239" s="11">
        <v>1</v>
      </c>
      <c r="W239" s="11">
        <v>3</v>
      </c>
      <c r="X239" s="11">
        <v>1</v>
      </c>
      <c r="Y239" s="11">
        <v>-1</v>
      </c>
      <c r="Z239" s="11">
        <v>-1</v>
      </c>
      <c r="AA239" s="11">
        <v>2</v>
      </c>
      <c r="AB239" s="11">
        <v>1</v>
      </c>
      <c r="AC239" s="11">
        <v>2</v>
      </c>
      <c r="AD239" s="11">
        <v>3</v>
      </c>
      <c r="AE239" s="11">
        <v>1</v>
      </c>
      <c r="AF239" s="11">
        <v>2</v>
      </c>
      <c r="AG239" s="11">
        <v>1</v>
      </c>
      <c r="AH239" s="11">
        <v>0</v>
      </c>
      <c r="AI239" s="11">
        <v>1</v>
      </c>
      <c r="AJ239" s="11">
        <v>1</v>
      </c>
      <c r="AK239" s="11">
        <v>-1</v>
      </c>
      <c r="AL239" s="11">
        <v>3</v>
      </c>
      <c r="AM239" s="11">
        <v>-1</v>
      </c>
      <c r="AN239" s="11">
        <v>1</v>
      </c>
      <c r="AO239" s="11">
        <v>1</v>
      </c>
      <c r="AP239" s="11">
        <v>3</v>
      </c>
      <c r="AQ239" s="11">
        <v>-1</v>
      </c>
      <c r="AR239" s="11">
        <v>0</v>
      </c>
      <c r="AS239" s="11">
        <v>-1</v>
      </c>
      <c r="AT239" s="11">
        <v>1</v>
      </c>
      <c r="AU239" s="11">
        <v>2</v>
      </c>
      <c r="AV239" s="11">
        <v>1</v>
      </c>
      <c r="AW239" s="11">
        <v>3</v>
      </c>
      <c r="AX239" s="11">
        <v>3</v>
      </c>
      <c r="AY239" s="11">
        <v>1</v>
      </c>
      <c r="AZ239" s="11">
        <v>1</v>
      </c>
      <c r="BA239" s="11">
        <v>3</v>
      </c>
    </row>
    <row r="241" spans="1:15" ht="24" customHeight="1" x14ac:dyDescent="0.2">
      <c r="I241" s="13" t="s">
        <v>20</v>
      </c>
    </row>
    <row r="242" spans="1:15" ht="24" customHeight="1" x14ac:dyDescent="0.2">
      <c r="I242" t="s">
        <v>117</v>
      </c>
      <c r="L242" t="s">
        <v>118</v>
      </c>
      <c r="O242" t="s">
        <v>119</v>
      </c>
    </row>
    <row r="243" spans="1:15" ht="24" customHeight="1" x14ac:dyDescent="0.2">
      <c r="B243" t="s">
        <v>43</v>
      </c>
      <c r="I243" s="13" t="s">
        <v>35</v>
      </c>
      <c r="L243" s="13" t="s">
        <v>1</v>
      </c>
      <c r="O243" s="13" t="s">
        <v>2</v>
      </c>
    </row>
    <row r="244" spans="1:15" ht="24" customHeight="1" x14ac:dyDescent="0.2">
      <c r="B244" s="13" t="s">
        <v>39</v>
      </c>
      <c r="C244" t="s">
        <v>30</v>
      </c>
      <c r="D244" t="s">
        <v>26</v>
      </c>
      <c r="I244" s="11">
        <f>$F239</f>
        <v>1</v>
      </c>
      <c r="L244" s="11">
        <f>$F239</f>
        <v>1</v>
      </c>
      <c r="O244" s="11">
        <f>$F239</f>
        <v>1</v>
      </c>
    </row>
    <row r="245" spans="1:15" ht="24" customHeight="1" x14ac:dyDescent="0.2">
      <c r="B245" s="13" t="s">
        <v>40</v>
      </c>
      <c r="C245" t="s">
        <v>30</v>
      </c>
      <c r="D245" t="s">
        <v>44</v>
      </c>
      <c r="I245" s="11">
        <f>I239</f>
        <v>2</v>
      </c>
      <c r="L245" s="11">
        <f>L239</f>
        <v>0</v>
      </c>
      <c r="O245" s="11">
        <f>O239</f>
        <v>0</v>
      </c>
    </row>
    <row r="246" spans="1:15" ht="24" customHeight="1" x14ac:dyDescent="0.2">
      <c r="B246" s="13" t="s">
        <v>42</v>
      </c>
      <c r="C246" s="1" t="s">
        <v>41</v>
      </c>
      <c r="I246" s="11">
        <f t="shared" ref="I246" si="4">I244*I245</f>
        <v>2</v>
      </c>
      <c r="L246" s="11">
        <f t="shared" ref="L246" si="5">L244*L245</f>
        <v>0</v>
      </c>
      <c r="O246" s="11">
        <f t="shared" ref="O246" si="6">O244*O245</f>
        <v>0</v>
      </c>
    </row>
    <row r="247" spans="1:15" ht="24" customHeight="1" x14ac:dyDescent="0.2">
      <c r="B247" s="13" t="s">
        <v>39</v>
      </c>
      <c r="C247" t="s">
        <v>30</v>
      </c>
      <c r="D247" t="s">
        <v>27</v>
      </c>
      <c r="I247" s="11">
        <f>$G239</f>
        <v>5</v>
      </c>
      <c r="L247" s="11">
        <f>$G239</f>
        <v>5</v>
      </c>
      <c r="O247" s="11">
        <f>$G239</f>
        <v>5</v>
      </c>
    </row>
    <row r="248" spans="1:15" ht="24" customHeight="1" x14ac:dyDescent="0.2">
      <c r="B248" s="13" t="s">
        <v>40</v>
      </c>
      <c r="C248" t="s">
        <v>30</v>
      </c>
      <c r="D248" t="s">
        <v>36</v>
      </c>
      <c r="I248" s="11">
        <f>J239</f>
        <v>0</v>
      </c>
      <c r="L248" s="11">
        <f>M239</f>
        <v>0</v>
      </c>
      <c r="O248" s="11">
        <f>P239</f>
        <v>-1</v>
      </c>
    </row>
    <row r="249" spans="1:15" ht="24" customHeight="1" x14ac:dyDescent="0.2">
      <c r="B249" s="13" t="s">
        <v>42</v>
      </c>
      <c r="C249" s="1" t="s">
        <v>41</v>
      </c>
      <c r="I249" s="11">
        <f>I247*I248+I246</f>
        <v>2</v>
      </c>
      <c r="L249" s="11">
        <f>L247*L248+L246</f>
        <v>0</v>
      </c>
      <c r="O249" s="11">
        <f>O247*O248+O246</f>
        <v>-5</v>
      </c>
    </row>
    <row r="250" spans="1:15" ht="24" customHeight="1" x14ac:dyDescent="0.2">
      <c r="B250" s="13" t="s">
        <v>39</v>
      </c>
      <c r="C250" t="s">
        <v>30</v>
      </c>
      <c r="D250" t="s">
        <v>28</v>
      </c>
      <c r="I250" s="11">
        <f>$H239</f>
        <v>-1</v>
      </c>
      <c r="L250" s="11">
        <f>$H239</f>
        <v>-1</v>
      </c>
      <c r="O250" s="11">
        <f>$H239</f>
        <v>-1</v>
      </c>
    </row>
    <row r="251" spans="1:15" ht="24" customHeight="1" x14ac:dyDescent="0.2">
      <c r="B251" s="13" t="s">
        <v>40</v>
      </c>
      <c r="C251" t="s">
        <v>30</v>
      </c>
      <c r="D251" t="s">
        <v>37</v>
      </c>
      <c r="I251" s="11">
        <f>K239</f>
        <v>1</v>
      </c>
      <c r="L251" s="11">
        <f>N239</f>
        <v>3</v>
      </c>
      <c r="O251" s="11">
        <f>Q239</f>
        <v>-1</v>
      </c>
    </row>
    <row r="252" spans="1:15" ht="24" customHeight="1" x14ac:dyDescent="0.2">
      <c r="B252" s="13" t="s">
        <v>42</v>
      </c>
      <c r="C252" s="1" t="s">
        <v>41</v>
      </c>
      <c r="I252" s="11">
        <f>I250*I251+I249</f>
        <v>1</v>
      </c>
      <c r="L252" s="11">
        <f>L250*L251+L249</f>
        <v>-3</v>
      </c>
      <c r="O252" s="11">
        <f>O250*O251+O249</f>
        <v>-4</v>
      </c>
    </row>
    <row r="255" spans="1:15" s="39" customFormat="1" ht="34" x14ac:dyDescent="0.4">
      <c r="A255" s="38" t="s">
        <v>120</v>
      </c>
    </row>
    <row r="257" spans="1:53" ht="24" customHeight="1" x14ac:dyDescent="0.2">
      <c r="B257" t="s">
        <v>60</v>
      </c>
      <c r="J257" t="s">
        <v>104</v>
      </c>
      <c r="K257" t="s">
        <v>16</v>
      </c>
      <c r="L257" t="s">
        <v>33</v>
      </c>
    </row>
    <row r="258" spans="1:53" ht="24" customHeight="1" x14ac:dyDescent="0.2">
      <c r="J258" s="9">
        <v>3</v>
      </c>
      <c r="K258" s="9">
        <v>2</v>
      </c>
      <c r="L258" s="9">
        <v>2</v>
      </c>
      <c r="M258" s="9">
        <v>2</v>
      </c>
      <c r="N258" s="9">
        <v>2</v>
      </c>
      <c r="O258" s="9">
        <v>1</v>
      </c>
      <c r="P258" s="9">
        <v>3</v>
      </c>
      <c r="Q258" s="9">
        <v>1</v>
      </c>
      <c r="R258" s="9">
        <v>3</v>
      </c>
      <c r="S258" s="9">
        <v>1</v>
      </c>
      <c r="T258" s="9">
        <v>0</v>
      </c>
      <c r="U258" s="9">
        <v>-1</v>
      </c>
      <c r="V258" s="9">
        <v>1</v>
      </c>
      <c r="W258" s="9">
        <v>0</v>
      </c>
      <c r="X258" s="9">
        <v>2</v>
      </c>
    </row>
    <row r="259" spans="1:53" ht="24" customHeight="1" x14ac:dyDescent="0.2">
      <c r="J259" s="12">
        <v>2</v>
      </c>
      <c r="K259" s="12">
        <v>2</v>
      </c>
      <c r="L259" s="12">
        <v>-1</v>
      </c>
      <c r="M259" s="12">
        <v>2</v>
      </c>
      <c r="N259" s="12">
        <v>1</v>
      </c>
      <c r="O259" s="12">
        <v>1</v>
      </c>
      <c r="P259" s="12">
        <v>-1</v>
      </c>
      <c r="Q259" s="12">
        <v>2</v>
      </c>
      <c r="R259" s="12">
        <v>1</v>
      </c>
      <c r="S259" s="12">
        <v>-1</v>
      </c>
      <c r="T259" s="12">
        <v>1</v>
      </c>
      <c r="U259" s="12">
        <v>2</v>
      </c>
      <c r="V259" s="12">
        <v>0</v>
      </c>
      <c r="W259" s="12">
        <v>1</v>
      </c>
      <c r="X259" s="12">
        <v>1</v>
      </c>
    </row>
    <row r="260" spans="1:53" ht="24" customHeight="1" x14ac:dyDescent="0.2">
      <c r="J260" s="10">
        <v>0</v>
      </c>
      <c r="K260" s="10">
        <v>2</v>
      </c>
      <c r="L260" s="10">
        <v>3</v>
      </c>
      <c r="M260" s="10">
        <v>-1</v>
      </c>
      <c r="N260" s="10">
        <v>3</v>
      </c>
      <c r="O260" s="10">
        <v>3</v>
      </c>
      <c r="P260" s="10">
        <v>3</v>
      </c>
      <c r="Q260" s="10">
        <v>0</v>
      </c>
      <c r="R260" s="10">
        <v>3</v>
      </c>
      <c r="S260" s="10">
        <v>2</v>
      </c>
      <c r="T260" s="10">
        <v>0</v>
      </c>
      <c r="U260" s="10">
        <v>1</v>
      </c>
      <c r="V260" s="10">
        <v>1</v>
      </c>
      <c r="W260" s="10">
        <v>0</v>
      </c>
      <c r="X260" s="10">
        <v>2</v>
      </c>
    </row>
    <row r="261" spans="1:53" ht="24" customHeight="1" x14ac:dyDescent="0.2">
      <c r="J261" s="13"/>
      <c r="K261" s="13"/>
      <c r="L261" s="13"/>
    </row>
    <row r="262" spans="1:53" ht="24" customHeight="1" x14ac:dyDescent="0.2">
      <c r="J262" t="s">
        <v>21</v>
      </c>
      <c r="K262" t="s">
        <v>22</v>
      </c>
      <c r="L262" t="s">
        <v>23</v>
      </c>
    </row>
    <row r="263" spans="1:53" ht="24" customHeight="1" x14ac:dyDescent="0.2">
      <c r="E263" t="s">
        <v>121</v>
      </c>
      <c r="F263" s="6">
        <v>1</v>
      </c>
      <c r="G263" s="7">
        <v>5</v>
      </c>
      <c r="H263" s="8">
        <v>-1</v>
      </c>
      <c r="J263" s="11" cm="1">
        <f t="array" ref="J263:X264">MMULT(F263:H264,J258:X260)</f>
        <v>13</v>
      </c>
      <c r="K263" s="11">
        <v>10</v>
      </c>
      <c r="L263" s="11">
        <v>-6</v>
      </c>
      <c r="M263" s="11">
        <v>13</v>
      </c>
      <c r="N263" s="11">
        <v>4</v>
      </c>
      <c r="O263" s="11">
        <v>3</v>
      </c>
      <c r="P263" s="11">
        <v>-5</v>
      </c>
      <c r="Q263" s="11">
        <v>11</v>
      </c>
      <c r="R263" s="11">
        <v>5</v>
      </c>
      <c r="S263" s="11">
        <v>-6</v>
      </c>
      <c r="T263" s="11">
        <v>5</v>
      </c>
      <c r="U263" s="11">
        <v>8</v>
      </c>
      <c r="V263" s="11">
        <v>0</v>
      </c>
      <c r="W263" s="11">
        <v>5</v>
      </c>
      <c r="X263" s="11">
        <v>5</v>
      </c>
    </row>
    <row r="264" spans="1:53" ht="24" customHeight="1" x14ac:dyDescent="0.2">
      <c r="E264" t="s">
        <v>122</v>
      </c>
      <c r="F264" s="6">
        <v>3</v>
      </c>
      <c r="G264" s="7">
        <v>1</v>
      </c>
      <c r="H264" s="8">
        <v>2</v>
      </c>
      <c r="J264" s="11">
        <v>11</v>
      </c>
      <c r="K264" s="11">
        <v>12</v>
      </c>
      <c r="L264" s="11">
        <v>11</v>
      </c>
      <c r="M264" s="11">
        <v>6</v>
      </c>
      <c r="N264" s="11">
        <v>13</v>
      </c>
      <c r="O264" s="11">
        <v>10</v>
      </c>
      <c r="P264" s="11">
        <v>14</v>
      </c>
      <c r="Q264" s="11">
        <v>5</v>
      </c>
      <c r="R264" s="11">
        <v>16</v>
      </c>
      <c r="S264" s="11">
        <v>6</v>
      </c>
      <c r="T264" s="11">
        <v>1</v>
      </c>
      <c r="U264" s="11">
        <v>1</v>
      </c>
      <c r="V264" s="11">
        <v>5</v>
      </c>
      <c r="W264" s="11">
        <v>1</v>
      </c>
      <c r="X264" s="11">
        <v>11</v>
      </c>
    </row>
    <row r="266" spans="1:53" ht="24" customHeight="1" x14ac:dyDescent="0.2">
      <c r="I266" t="s">
        <v>32</v>
      </c>
    </row>
    <row r="267" spans="1:53" ht="24" customHeight="1" x14ac:dyDescent="0.2">
      <c r="F267" t="s">
        <v>121</v>
      </c>
      <c r="I267" t="s">
        <v>104</v>
      </c>
      <c r="L267" t="s">
        <v>16</v>
      </c>
      <c r="O267" t="s">
        <v>33</v>
      </c>
      <c r="R267" t="s">
        <v>34</v>
      </c>
      <c r="U267" t="s">
        <v>105</v>
      </c>
      <c r="X267" t="s">
        <v>106</v>
      </c>
      <c r="AA267" t="s">
        <v>107</v>
      </c>
      <c r="AD267" t="s">
        <v>108</v>
      </c>
      <c r="AG267" t="s">
        <v>109</v>
      </c>
      <c r="AJ267" t="s">
        <v>110</v>
      </c>
      <c r="AM267" t="s">
        <v>111</v>
      </c>
      <c r="AP267" t="s">
        <v>112</v>
      </c>
      <c r="AS267" t="s">
        <v>113</v>
      </c>
      <c r="AV267" t="s">
        <v>114</v>
      </c>
      <c r="AY267" t="s">
        <v>115</v>
      </c>
    </row>
    <row r="268" spans="1:53" ht="24" customHeight="1" x14ac:dyDescent="0.2">
      <c r="B268" t="s">
        <v>61</v>
      </c>
      <c r="F268" s="11" cm="1">
        <f t="array" ref="F268:H268">F263:H263</f>
        <v>1</v>
      </c>
      <c r="G268" s="11">
        <v>5</v>
      </c>
      <c r="H268" s="11">
        <v>-1</v>
      </c>
      <c r="I268" s="11" cm="1">
        <f t="array" ref="I268:BA268">_xlfn.TOROW(J258:X260,,TRUE)</f>
        <v>3</v>
      </c>
      <c r="J268" s="11">
        <v>2</v>
      </c>
      <c r="K268" s="11">
        <v>0</v>
      </c>
      <c r="L268" s="11">
        <v>2</v>
      </c>
      <c r="M268" s="11">
        <v>2</v>
      </c>
      <c r="N268" s="11">
        <v>2</v>
      </c>
      <c r="O268" s="11">
        <v>2</v>
      </c>
      <c r="P268" s="11">
        <v>-1</v>
      </c>
      <c r="Q268" s="11">
        <v>3</v>
      </c>
      <c r="R268" s="11">
        <v>2</v>
      </c>
      <c r="S268" s="11">
        <v>2</v>
      </c>
      <c r="T268" s="11">
        <v>-1</v>
      </c>
      <c r="U268" s="11">
        <v>2</v>
      </c>
      <c r="V268" s="11">
        <v>1</v>
      </c>
      <c r="W268" s="11">
        <v>3</v>
      </c>
      <c r="X268" s="11">
        <v>1</v>
      </c>
      <c r="Y268" s="11">
        <v>1</v>
      </c>
      <c r="Z268" s="11">
        <v>3</v>
      </c>
      <c r="AA268" s="11">
        <v>3</v>
      </c>
      <c r="AB268" s="11">
        <v>-1</v>
      </c>
      <c r="AC268" s="11">
        <v>3</v>
      </c>
      <c r="AD268" s="11">
        <v>1</v>
      </c>
      <c r="AE268" s="11">
        <v>2</v>
      </c>
      <c r="AF268" s="11">
        <v>0</v>
      </c>
      <c r="AG268" s="11">
        <v>3</v>
      </c>
      <c r="AH268" s="11">
        <v>1</v>
      </c>
      <c r="AI268" s="11">
        <v>3</v>
      </c>
      <c r="AJ268" s="11">
        <v>1</v>
      </c>
      <c r="AK268" s="11">
        <v>-1</v>
      </c>
      <c r="AL268" s="11">
        <v>2</v>
      </c>
      <c r="AM268" s="11">
        <v>0</v>
      </c>
      <c r="AN268" s="11">
        <v>1</v>
      </c>
      <c r="AO268" s="11">
        <v>0</v>
      </c>
      <c r="AP268" s="11">
        <v>-1</v>
      </c>
      <c r="AQ268" s="11">
        <v>2</v>
      </c>
      <c r="AR268" s="11">
        <v>1</v>
      </c>
      <c r="AS268" s="11">
        <v>1</v>
      </c>
      <c r="AT268" s="11">
        <v>0</v>
      </c>
      <c r="AU268" s="11">
        <v>1</v>
      </c>
      <c r="AV268" s="11">
        <v>0</v>
      </c>
      <c r="AW268" s="11">
        <v>1</v>
      </c>
      <c r="AX268" s="11">
        <v>0</v>
      </c>
      <c r="AY268" s="11">
        <v>2</v>
      </c>
      <c r="AZ268" s="11">
        <v>1</v>
      </c>
      <c r="BA268" s="11">
        <v>2</v>
      </c>
    </row>
    <row r="270" spans="1:53" ht="24" customHeight="1" x14ac:dyDescent="0.2">
      <c r="A270" s="2" t="s">
        <v>123</v>
      </c>
      <c r="I270" s="13" t="s">
        <v>20</v>
      </c>
      <c r="R270" s="13" t="s">
        <v>15</v>
      </c>
      <c r="AA270" s="13" t="s">
        <v>17</v>
      </c>
      <c r="AJ270" s="13" t="s">
        <v>19</v>
      </c>
      <c r="AS270" s="13" t="s">
        <v>18</v>
      </c>
    </row>
    <row r="271" spans="1:53" ht="24" customHeight="1" x14ac:dyDescent="0.2">
      <c r="I271" t="s">
        <v>117</v>
      </c>
      <c r="L271" t="s">
        <v>118</v>
      </c>
      <c r="O271" t="s">
        <v>119</v>
      </c>
      <c r="R271" t="s">
        <v>117</v>
      </c>
      <c r="U271" t="s">
        <v>118</v>
      </c>
      <c r="X271" t="s">
        <v>119</v>
      </c>
      <c r="AA271" t="s">
        <v>117</v>
      </c>
      <c r="AD271" t="s">
        <v>118</v>
      </c>
      <c r="AG271" t="s">
        <v>119</v>
      </c>
      <c r="AJ271" t="s">
        <v>117</v>
      </c>
      <c r="AM271" t="s">
        <v>118</v>
      </c>
      <c r="AP271" t="s">
        <v>119</v>
      </c>
      <c r="AS271" t="s">
        <v>117</v>
      </c>
      <c r="AV271" t="s">
        <v>118</v>
      </c>
      <c r="AY271" t="s">
        <v>119</v>
      </c>
    </row>
    <row r="272" spans="1:53" ht="24" customHeight="1" x14ac:dyDescent="0.2">
      <c r="B272" t="s">
        <v>43</v>
      </c>
      <c r="I272" s="13" t="s">
        <v>35</v>
      </c>
      <c r="L272" s="13" t="s">
        <v>1</v>
      </c>
      <c r="O272" s="13" t="s">
        <v>2</v>
      </c>
      <c r="R272" s="13" t="s">
        <v>3</v>
      </c>
      <c r="U272" s="13" t="s">
        <v>4</v>
      </c>
      <c r="X272" s="13" t="s">
        <v>5</v>
      </c>
      <c r="AA272" s="13" t="s">
        <v>6</v>
      </c>
      <c r="AD272" s="13" t="s">
        <v>7</v>
      </c>
      <c r="AG272" s="13" t="s">
        <v>8</v>
      </c>
      <c r="AJ272" t="s">
        <v>9</v>
      </c>
      <c r="AM272" t="s">
        <v>10</v>
      </c>
      <c r="AP272" t="s">
        <v>11</v>
      </c>
      <c r="AS272" t="s">
        <v>12</v>
      </c>
      <c r="AV272" t="s">
        <v>13</v>
      </c>
      <c r="AY272" t="s">
        <v>14</v>
      </c>
    </row>
    <row r="273" spans="2:54" ht="24" customHeight="1" x14ac:dyDescent="0.2">
      <c r="B273" s="13" t="s">
        <v>39</v>
      </c>
      <c r="C273" t="s">
        <v>30</v>
      </c>
      <c r="D273" t="s">
        <v>26</v>
      </c>
      <c r="I273" s="11">
        <f>$F268</f>
        <v>1</v>
      </c>
      <c r="L273" s="11">
        <f>$F268</f>
        <v>1</v>
      </c>
      <c r="O273" s="11">
        <f>$F268</f>
        <v>1</v>
      </c>
      <c r="R273" s="11">
        <f>$F268</f>
        <v>1</v>
      </c>
      <c r="U273" s="11">
        <f>$F268</f>
        <v>1</v>
      </c>
      <c r="X273" s="11">
        <f>$F268</f>
        <v>1</v>
      </c>
      <c r="AA273" s="11">
        <f>$F268</f>
        <v>1</v>
      </c>
      <c r="AD273" s="11">
        <f>$F268</f>
        <v>1</v>
      </c>
      <c r="AG273" s="11">
        <f>$F268</f>
        <v>1</v>
      </c>
      <c r="AJ273" s="11">
        <f>$F268</f>
        <v>1</v>
      </c>
      <c r="AM273" s="11">
        <f>$F268</f>
        <v>1</v>
      </c>
      <c r="AP273" s="11">
        <f>$F268</f>
        <v>1</v>
      </c>
      <c r="AS273" s="11">
        <f>$F268</f>
        <v>1</v>
      </c>
      <c r="AV273" s="11">
        <f>$F268</f>
        <v>1</v>
      </c>
      <c r="AY273" s="11">
        <f>$F268</f>
        <v>1</v>
      </c>
    </row>
    <row r="274" spans="2:54" ht="24" customHeight="1" x14ac:dyDescent="0.2">
      <c r="B274" s="13" t="s">
        <v>40</v>
      </c>
      <c r="C274" t="s">
        <v>30</v>
      </c>
      <c r="D274" t="s">
        <v>44</v>
      </c>
      <c r="I274" s="11">
        <f>I268</f>
        <v>3</v>
      </c>
      <c r="L274" s="11">
        <f>L268</f>
        <v>2</v>
      </c>
      <c r="O274" s="11">
        <f>O268</f>
        <v>2</v>
      </c>
      <c r="R274" s="11">
        <f>R268</f>
        <v>2</v>
      </c>
      <c r="U274" s="11">
        <f>U268</f>
        <v>2</v>
      </c>
      <c r="X274" s="11">
        <f>X268</f>
        <v>1</v>
      </c>
      <c r="AA274" s="11">
        <f>AA268</f>
        <v>3</v>
      </c>
      <c r="AD274" s="11">
        <f>AD268</f>
        <v>1</v>
      </c>
      <c r="AG274" s="11">
        <f>AG268</f>
        <v>3</v>
      </c>
      <c r="AJ274" s="11">
        <f>AJ268</f>
        <v>1</v>
      </c>
      <c r="AM274" s="11">
        <f>AM268</f>
        <v>0</v>
      </c>
      <c r="AP274" s="11">
        <f>AP268</f>
        <v>-1</v>
      </c>
      <c r="AS274" s="11">
        <f>AS268</f>
        <v>1</v>
      </c>
      <c r="AV274" s="11">
        <f>AV268</f>
        <v>0</v>
      </c>
      <c r="AY274" s="11">
        <f>AY268</f>
        <v>2</v>
      </c>
    </row>
    <row r="275" spans="2:54" ht="24" customHeight="1" x14ac:dyDescent="0.2">
      <c r="B275" s="13" t="s">
        <v>42</v>
      </c>
      <c r="C275" s="1" t="s">
        <v>41</v>
      </c>
      <c r="I275" s="11">
        <f t="shared" ref="I275" si="7">I273*I274</f>
        <v>3</v>
      </c>
      <c r="L275" s="11">
        <f t="shared" ref="L275" si="8">L273*L274</f>
        <v>2</v>
      </c>
      <c r="O275" s="11">
        <f t="shared" ref="O275" si="9">O273*O274</f>
        <v>2</v>
      </c>
      <c r="R275" s="11">
        <f t="shared" ref="R275" si="10">R273*R274</f>
        <v>2</v>
      </c>
      <c r="U275" s="11">
        <f t="shared" ref="U275" si="11">U273*U274</f>
        <v>2</v>
      </c>
      <c r="X275" s="11">
        <f t="shared" ref="X275" si="12">X273*X274</f>
        <v>1</v>
      </c>
      <c r="AA275" s="11">
        <f t="shared" ref="AA275" si="13">AA273*AA274</f>
        <v>3</v>
      </c>
      <c r="AD275" s="11">
        <f t="shared" ref="AD275" si="14">AD273*AD274</f>
        <v>1</v>
      </c>
      <c r="AG275" s="11">
        <f t="shared" ref="AG275" si="15">AG273*AG274</f>
        <v>3</v>
      </c>
      <c r="AJ275" s="11">
        <f t="shared" ref="AJ275" si="16">AJ273*AJ274</f>
        <v>1</v>
      </c>
      <c r="AM275" s="11">
        <f t="shared" ref="AM275" si="17">AM273*AM274</f>
        <v>0</v>
      </c>
      <c r="AP275" s="11">
        <f t="shared" ref="AP275" si="18">AP273*AP274</f>
        <v>-1</v>
      </c>
      <c r="AS275" s="11">
        <f t="shared" ref="AS275" si="19">AS273*AS274</f>
        <v>1</v>
      </c>
      <c r="AV275" s="11">
        <f t="shared" ref="AV275" si="20">AV273*AV274</f>
        <v>0</v>
      </c>
      <c r="AY275" s="11">
        <f t="shared" ref="AY275" si="21">AY273*AY274</f>
        <v>2</v>
      </c>
    </row>
    <row r="276" spans="2:54" ht="24" customHeight="1" x14ac:dyDescent="0.2">
      <c r="B276" s="13" t="s">
        <v>39</v>
      </c>
      <c r="C276" t="s">
        <v>30</v>
      </c>
      <c r="D276" t="s">
        <v>27</v>
      </c>
      <c r="I276" s="11">
        <f>$G268</f>
        <v>5</v>
      </c>
      <c r="L276" s="11">
        <f>$G268</f>
        <v>5</v>
      </c>
      <c r="O276" s="11">
        <f>$G268</f>
        <v>5</v>
      </c>
      <c r="R276" s="11">
        <f>$G268</f>
        <v>5</v>
      </c>
      <c r="U276" s="11">
        <f>$G268</f>
        <v>5</v>
      </c>
      <c r="X276" s="11">
        <f>$G268</f>
        <v>5</v>
      </c>
      <c r="AA276" s="11">
        <f>$G268</f>
        <v>5</v>
      </c>
      <c r="AD276" s="11">
        <f>$G268</f>
        <v>5</v>
      </c>
      <c r="AG276" s="11">
        <f>$G268</f>
        <v>5</v>
      </c>
      <c r="AJ276" s="11">
        <f>$G268</f>
        <v>5</v>
      </c>
      <c r="AM276" s="11">
        <f>$G268</f>
        <v>5</v>
      </c>
      <c r="AP276" s="11">
        <f>$G268</f>
        <v>5</v>
      </c>
      <c r="AS276" s="11">
        <f>$G268</f>
        <v>5</v>
      </c>
      <c r="AV276" s="11">
        <f>$G268</f>
        <v>5</v>
      </c>
      <c r="AY276" s="11">
        <f>$G268</f>
        <v>5</v>
      </c>
    </row>
    <row r="277" spans="2:54" ht="24" customHeight="1" x14ac:dyDescent="0.2">
      <c r="B277" s="13" t="s">
        <v>40</v>
      </c>
      <c r="C277" t="s">
        <v>30</v>
      </c>
      <c r="D277" t="s">
        <v>36</v>
      </c>
      <c r="I277" s="11">
        <f>J268</f>
        <v>2</v>
      </c>
      <c r="L277" s="11">
        <f>M268</f>
        <v>2</v>
      </c>
      <c r="O277" s="11">
        <f>P268</f>
        <v>-1</v>
      </c>
      <c r="R277" s="11">
        <f>S268</f>
        <v>2</v>
      </c>
      <c r="U277" s="11">
        <f>V268</f>
        <v>1</v>
      </c>
      <c r="X277" s="11">
        <f>Y268</f>
        <v>1</v>
      </c>
      <c r="AA277" s="11">
        <f>AB268</f>
        <v>-1</v>
      </c>
      <c r="AD277" s="11">
        <f>AE268</f>
        <v>2</v>
      </c>
      <c r="AG277" s="11">
        <f>AH268</f>
        <v>1</v>
      </c>
      <c r="AJ277" s="11">
        <f>AK268</f>
        <v>-1</v>
      </c>
      <c r="AM277" s="11">
        <f>AN268</f>
        <v>1</v>
      </c>
      <c r="AP277" s="11">
        <f>AQ268</f>
        <v>2</v>
      </c>
      <c r="AS277" s="11">
        <f>AT268</f>
        <v>0</v>
      </c>
      <c r="AV277" s="11">
        <f>AW268</f>
        <v>1</v>
      </c>
      <c r="AY277" s="11">
        <f>AZ268</f>
        <v>1</v>
      </c>
    </row>
    <row r="278" spans="2:54" ht="24" customHeight="1" x14ac:dyDescent="0.2">
      <c r="B278" s="13" t="s">
        <v>42</v>
      </c>
      <c r="C278" s="1" t="s">
        <v>41</v>
      </c>
      <c r="I278" s="11">
        <f>I276*I277+I275</f>
        <v>13</v>
      </c>
      <c r="L278" s="11">
        <f>L276*L277+L275</f>
        <v>12</v>
      </c>
      <c r="O278" s="11">
        <f>O276*O277+O275</f>
        <v>-3</v>
      </c>
      <c r="R278" s="11">
        <f>R276*R277+R275</f>
        <v>12</v>
      </c>
      <c r="U278" s="11">
        <f>U276*U277+U275</f>
        <v>7</v>
      </c>
      <c r="X278" s="11">
        <f>X276*X277+X275</f>
        <v>6</v>
      </c>
      <c r="AA278" s="11">
        <f>AA276*AA277+AA275</f>
        <v>-2</v>
      </c>
      <c r="AD278" s="11">
        <f>AD276*AD277+AD275</f>
        <v>11</v>
      </c>
      <c r="AG278" s="11">
        <f>AG276*AG277+AG275</f>
        <v>8</v>
      </c>
      <c r="AJ278" s="11">
        <f>AJ276*AJ277+AJ275</f>
        <v>-4</v>
      </c>
      <c r="AM278" s="11">
        <f>AM276*AM277+AM275</f>
        <v>5</v>
      </c>
      <c r="AP278" s="11">
        <f>AP276*AP277+AP275</f>
        <v>9</v>
      </c>
      <c r="AS278" s="11">
        <f>AS276*AS277+AS275</f>
        <v>1</v>
      </c>
      <c r="AV278" s="11">
        <f>AV276*AV277+AV275</f>
        <v>5</v>
      </c>
      <c r="AY278" s="11">
        <f>AY276*AY277+AY275</f>
        <v>7</v>
      </c>
    </row>
    <row r="279" spans="2:54" ht="24" customHeight="1" x14ac:dyDescent="0.2">
      <c r="B279" s="13" t="s">
        <v>39</v>
      </c>
      <c r="C279" t="s">
        <v>30</v>
      </c>
      <c r="D279" t="s">
        <v>28</v>
      </c>
      <c r="I279" s="11">
        <f>$H268</f>
        <v>-1</v>
      </c>
      <c r="L279" s="11">
        <f>$H268</f>
        <v>-1</v>
      </c>
      <c r="O279" s="11">
        <f>$H268</f>
        <v>-1</v>
      </c>
      <c r="R279" s="11">
        <f>$H268</f>
        <v>-1</v>
      </c>
      <c r="U279" s="11">
        <f>$H268</f>
        <v>-1</v>
      </c>
      <c r="X279" s="11">
        <f>$H268</f>
        <v>-1</v>
      </c>
      <c r="AA279" s="11">
        <f>$H268</f>
        <v>-1</v>
      </c>
      <c r="AD279" s="11">
        <f>$H268</f>
        <v>-1</v>
      </c>
      <c r="AG279" s="11">
        <f>$H268</f>
        <v>-1</v>
      </c>
      <c r="AJ279" s="11">
        <f>$H268</f>
        <v>-1</v>
      </c>
      <c r="AM279" s="11">
        <f>$H268</f>
        <v>-1</v>
      </c>
      <c r="AP279" s="11">
        <f>$H268</f>
        <v>-1</v>
      </c>
      <c r="AS279" s="11">
        <f>$H268</f>
        <v>-1</v>
      </c>
      <c r="AV279" s="11">
        <f>$H268</f>
        <v>-1</v>
      </c>
      <c r="AY279" s="11">
        <f>$H268</f>
        <v>-1</v>
      </c>
    </row>
    <row r="280" spans="2:54" ht="24" customHeight="1" x14ac:dyDescent="0.2">
      <c r="B280" s="13" t="s">
        <v>40</v>
      </c>
      <c r="C280" t="s">
        <v>30</v>
      </c>
      <c r="D280" t="s">
        <v>37</v>
      </c>
      <c r="I280" s="11">
        <f>K268</f>
        <v>0</v>
      </c>
      <c r="L280" s="11">
        <f>N268</f>
        <v>2</v>
      </c>
      <c r="O280" s="11">
        <f>Q268</f>
        <v>3</v>
      </c>
      <c r="R280" s="11">
        <f>T268</f>
        <v>-1</v>
      </c>
      <c r="U280" s="11">
        <f>W268</f>
        <v>3</v>
      </c>
      <c r="X280" s="11">
        <f>Z268</f>
        <v>3</v>
      </c>
      <c r="AA280" s="11">
        <f>AC268</f>
        <v>3</v>
      </c>
      <c r="AD280" s="11">
        <f>AF268</f>
        <v>0</v>
      </c>
      <c r="AG280" s="11">
        <f>AI268</f>
        <v>3</v>
      </c>
      <c r="AJ280" s="11">
        <f>AL268</f>
        <v>2</v>
      </c>
      <c r="AM280" s="11">
        <f>AO268</f>
        <v>0</v>
      </c>
      <c r="AP280" s="11">
        <f>AR268</f>
        <v>1</v>
      </c>
      <c r="AS280" s="11">
        <f>AU268</f>
        <v>1</v>
      </c>
      <c r="AV280" s="11">
        <f>AX268</f>
        <v>0</v>
      </c>
      <c r="AY280" s="11">
        <f>BA268</f>
        <v>2</v>
      </c>
    </row>
    <row r="281" spans="2:54" ht="24" customHeight="1" x14ac:dyDescent="0.2">
      <c r="B281" s="13" t="s">
        <v>42</v>
      </c>
      <c r="C281" s="1" t="s">
        <v>41</v>
      </c>
      <c r="I281" s="11">
        <f>I279*I280+I278</f>
        <v>13</v>
      </c>
      <c r="L281" s="11">
        <f>L279*L280+L278</f>
        <v>10</v>
      </c>
      <c r="O281" s="11">
        <f>O279*O280+O278</f>
        <v>-6</v>
      </c>
      <c r="R281" s="11">
        <f>R279*R280+R278</f>
        <v>13</v>
      </c>
      <c r="U281" s="11">
        <f>U279*U280+U278</f>
        <v>4</v>
      </c>
      <c r="X281" s="11">
        <f>X279*X280+X278</f>
        <v>3</v>
      </c>
      <c r="AA281" s="11">
        <f>AA279*AA280+AA278</f>
        <v>-5</v>
      </c>
      <c r="AD281" s="11">
        <f>AD279*AD280+AD278</f>
        <v>11</v>
      </c>
      <c r="AG281" s="11">
        <f>AG279*AG280+AG278</f>
        <v>5</v>
      </c>
      <c r="AJ281" s="11">
        <f>AJ279*AJ280+AJ278</f>
        <v>-6</v>
      </c>
      <c r="AM281" s="11">
        <f>AM279*AM280+AM278</f>
        <v>5</v>
      </c>
      <c r="AP281" s="11">
        <f>AP279*AP280+AP278</f>
        <v>8</v>
      </c>
      <c r="AS281" s="11">
        <f>AS279*AS280+AS278</f>
        <v>0</v>
      </c>
      <c r="AV281" s="11">
        <f>AV279*AV280+AV278</f>
        <v>5</v>
      </c>
      <c r="AY281" s="11">
        <f>AY279*AY280+AY278</f>
        <v>5</v>
      </c>
      <c r="BB281">
        <f>SUM(I281:AY281)</f>
        <v>65</v>
      </c>
    </row>
    <row r="306" spans="1:27" s="37" customFormat="1" ht="70" customHeight="1" x14ac:dyDescent="0.2">
      <c r="A306" s="36" t="s">
        <v>150</v>
      </c>
    </row>
    <row r="309" spans="1:27" ht="24" customHeight="1" x14ac:dyDescent="0.3">
      <c r="G309" s="17"/>
      <c r="H309" s="17"/>
      <c r="I309" s="17"/>
      <c r="J309" s="17"/>
      <c r="K309" s="17"/>
      <c r="L309" s="17"/>
      <c r="M309" s="17"/>
      <c r="N309" s="17"/>
      <c r="T309" s="13"/>
      <c r="U309" s="17"/>
      <c r="X309" s="17"/>
      <c r="Y309" s="17"/>
      <c r="Z309" s="22"/>
      <c r="AA309" s="22"/>
    </row>
    <row r="310" spans="1:27" s="39" customFormat="1" ht="34" x14ac:dyDescent="0.4">
      <c r="A310" s="38" t="s">
        <v>141</v>
      </c>
    </row>
    <row r="311" spans="1:27" ht="24" customHeight="1" x14ac:dyDescent="0.3">
      <c r="G311" s="17"/>
      <c r="H311" s="17"/>
      <c r="I311" s="17"/>
      <c r="J311" s="17"/>
      <c r="K311" s="17"/>
      <c r="L311" s="17"/>
      <c r="M311" s="17"/>
      <c r="N311" s="17"/>
      <c r="T311" s="13"/>
      <c r="U311" s="17"/>
      <c r="X311" s="17"/>
      <c r="Y311" s="17"/>
      <c r="Z311" s="22"/>
      <c r="AA311" s="22"/>
    </row>
    <row r="312" spans="1:27" ht="24" customHeight="1" x14ac:dyDescent="0.2">
      <c r="A312" t="s">
        <v>172</v>
      </c>
    </row>
    <row r="314" spans="1:27" ht="24" customHeight="1" thickBot="1" x14ac:dyDescent="0.25">
      <c r="B314" s="44" t="s">
        <v>126</v>
      </c>
      <c r="E314" s="13"/>
      <c r="F314" s="13"/>
      <c r="G314" s="13"/>
      <c r="H314" s="13"/>
    </row>
    <row r="315" spans="1:27" ht="24" customHeight="1" thickBot="1" x14ac:dyDescent="0.35">
      <c r="E315" s="40">
        <v>0</v>
      </c>
      <c r="F315" s="41">
        <v>0</v>
      </c>
      <c r="G315" s="41">
        <v>1</v>
      </c>
      <c r="H315" s="41">
        <v>2</v>
      </c>
      <c r="I315" s="41">
        <v>4</v>
      </c>
      <c r="J315" s="41">
        <v>1</v>
      </c>
      <c r="K315" s="41">
        <v>2</v>
      </c>
      <c r="L315" s="42">
        <v>3</v>
      </c>
      <c r="N315" s="46" cm="1">
        <f t="array" ref="N315">SUMPRODUCT(E315:L315,10^_xlfn.SEQUENCE(1,8,7,-1))</f>
        <v>124123</v>
      </c>
    </row>
    <row r="316" spans="1:27" ht="24" customHeight="1" thickBot="1" x14ac:dyDescent="0.35">
      <c r="E316" s="40">
        <v>0</v>
      </c>
      <c r="F316" s="41">
        <v>0</v>
      </c>
      <c r="G316" s="41">
        <v>0</v>
      </c>
      <c r="H316" s="41">
        <v>5</v>
      </c>
      <c r="I316" s="41">
        <v>0</v>
      </c>
      <c r="J316" s="41">
        <v>2</v>
      </c>
      <c r="K316" s="41">
        <v>1</v>
      </c>
      <c r="L316" s="42">
        <v>5</v>
      </c>
      <c r="N316" s="46" cm="1">
        <f t="array" ref="N316">SUMPRODUCT(E316:L316,10^_xlfn.SEQUENCE(1,8,7,-1))</f>
        <v>50215</v>
      </c>
    </row>
    <row r="317" spans="1:27" ht="24" customHeight="1" thickBot="1" x14ac:dyDescent="0.35">
      <c r="E317" s="40">
        <v>0</v>
      </c>
      <c r="F317" s="41">
        <v>4</v>
      </c>
      <c r="G317" s="41">
        <v>3</v>
      </c>
      <c r="H317" s="41">
        <v>2</v>
      </c>
      <c r="I317" s="41">
        <v>0</v>
      </c>
      <c r="J317" s="41">
        <v>1</v>
      </c>
      <c r="K317" s="41">
        <v>3</v>
      </c>
      <c r="L317" s="42">
        <v>1</v>
      </c>
      <c r="N317" s="46" cm="1">
        <f t="array" ref="N317">SUMPRODUCT(E317:L317,10^_xlfn.SEQUENCE(1,8,7,-1))</f>
        <v>4320131</v>
      </c>
    </row>
    <row r="318" spans="1:27" ht="24" customHeight="1" thickBot="1" x14ac:dyDescent="0.35">
      <c r="E318" s="40">
        <v>0</v>
      </c>
      <c r="F318" s="41">
        <v>0</v>
      </c>
      <c r="G318" s="41">
        <v>0</v>
      </c>
      <c r="H318" s="41">
        <v>0</v>
      </c>
      <c r="I318" s="41">
        <v>7</v>
      </c>
      <c r="J318" s="41">
        <v>2</v>
      </c>
      <c r="K318" s="41">
        <v>4</v>
      </c>
      <c r="L318" s="42">
        <v>3</v>
      </c>
      <c r="N318" s="46" cm="1">
        <f t="array" ref="N318">SUMPRODUCT(E318:L318,10^_xlfn.SEQUENCE(1,8,7,-1))</f>
        <v>7243</v>
      </c>
    </row>
    <row r="319" spans="1:27" ht="24" customHeight="1" x14ac:dyDescent="0.3">
      <c r="G319" s="17"/>
      <c r="H319" s="17"/>
      <c r="I319" s="17"/>
      <c r="J319" s="17"/>
      <c r="K319" s="17"/>
      <c r="L319" s="17"/>
      <c r="M319" s="17"/>
      <c r="N319" s="17"/>
    </row>
    <row r="320" spans="1:27" ht="24" customHeight="1" x14ac:dyDescent="0.3">
      <c r="G320" s="17"/>
      <c r="H320" s="17"/>
      <c r="I320" s="17"/>
      <c r="J320" s="17"/>
      <c r="K320" s="17"/>
      <c r="L320" s="17"/>
      <c r="M320" s="17"/>
      <c r="N320" s="17"/>
    </row>
    <row r="321" spans="1:28" ht="24" customHeight="1" thickBot="1" x14ac:dyDescent="0.25">
      <c r="B321" s="2" t="s">
        <v>125</v>
      </c>
      <c r="N321" t="s">
        <v>133</v>
      </c>
    </row>
    <row r="322" spans="1:28" ht="24" customHeight="1" thickBot="1" x14ac:dyDescent="0.35">
      <c r="E322" s="40">
        <v>0</v>
      </c>
      <c r="F322" s="41">
        <v>0</v>
      </c>
      <c r="G322" s="41">
        <v>1</v>
      </c>
      <c r="H322" s="41">
        <v>0</v>
      </c>
      <c r="I322" s="41">
        <v>0</v>
      </c>
      <c r="J322" s="41">
        <v>1</v>
      </c>
      <c r="K322" s="41">
        <v>0</v>
      </c>
      <c r="L322" s="42">
        <v>0</v>
      </c>
      <c r="N322" s="46" cm="1">
        <f t="array" ref="N322">SUMPRODUCT(E322:L322,2^_xlfn.SEQUENCE(1,8,7,-1))</f>
        <v>36</v>
      </c>
      <c r="T322" s="13"/>
      <c r="U322" s="17"/>
      <c r="X322" s="17"/>
      <c r="Y322" s="17"/>
      <c r="Z322" s="22"/>
      <c r="AA322" s="22"/>
    </row>
    <row r="323" spans="1:28" ht="24" customHeight="1" thickBot="1" x14ac:dyDescent="0.35">
      <c r="E323" s="40">
        <v>0</v>
      </c>
      <c r="F323" s="41">
        <v>0</v>
      </c>
      <c r="G323" s="41">
        <v>1</v>
      </c>
      <c r="H323" s="41">
        <v>1</v>
      </c>
      <c r="I323" s="41">
        <v>0</v>
      </c>
      <c r="J323" s="41">
        <v>0</v>
      </c>
      <c r="K323" s="41">
        <v>1</v>
      </c>
      <c r="L323" s="42">
        <v>0</v>
      </c>
      <c r="N323" s="46" cm="1">
        <f t="array" ref="N323">SUMPRODUCT(E323:L323,2^_xlfn.SEQUENCE(1,8,7,-1))</f>
        <v>50</v>
      </c>
      <c r="T323" s="13"/>
      <c r="U323" s="17"/>
      <c r="X323" s="17"/>
      <c r="Y323" s="17"/>
      <c r="Z323" s="22"/>
      <c r="AA323" s="22"/>
    </row>
    <row r="324" spans="1:28" ht="24" customHeight="1" thickBot="1" x14ac:dyDescent="0.35">
      <c r="E324" s="40">
        <v>0</v>
      </c>
      <c r="F324" s="41">
        <v>0</v>
      </c>
      <c r="G324" s="41">
        <v>1</v>
      </c>
      <c r="H324" s="41">
        <v>1</v>
      </c>
      <c r="I324" s="41">
        <v>0</v>
      </c>
      <c r="J324" s="41">
        <v>1</v>
      </c>
      <c r="K324" s="41">
        <v>0</v>
      </c>
      <c r="L324" s="42">
        <v>1</v>
      </c>
      <c r="N324" s="46" cm="1">
        <f t="array" ref="N324">SUMPRODUCT(E324:L324,2^_xlfn.SEQUENCE(1,8,7,-1))</f>
        <v>53</v>
      </c>
      <c r="T324" s="13"/>
      <c r="U324" s="17"/>
      <c r="X324" s="17"/>
      <c r="Y324" s="17"/>
      <c r="Z324" s="22"/>
      <c r="AA324" s="22"/>
    </row>
    <row r="325" spans="1:28" ht="24" customHeight="1" thickBot="1" x14ac:dyDescent="0.35">
      <c r="E325" s="40">
        <v>0</v>
      </c>
      <c r="F325" s="41">
        <v>0</v>
      </c>
      <c r="G325" s="41">
        <v>0</v>
      </c>
      <c r="H325" s="41">
        <v>0</v>
      </c>
      <c r="I325" s="41">
        <v>1</v>
      </c>
      <c r="J325" s="41">
        <v>0</v>
      </c>
      <c r="K325" s="41">
        <v>1</v>
      </c>
      <c r="L325" s="42">
        <v>0</v>
      </c>
      <c r="N325" s="46" cm="1">
        <f t="array" ref="N325">SUMPRODUCT(E325:L325,2^_xlfn.SEQUENCE(1,8,7,-1))</f>
        <v>10</v>
      </c>
      <c r="T325" s="13"/>
      <c r="U325" s="17"/>
      <c r="X325" s="17"/>
      <c r="Y325" s="17"/>
      <c r="Z325" s="22"/>
      <c r="AA325" s="22"/>
    </row>
    <row r="326" spans="1:28" ht="24" customHeight="1" x14ac:dyDescent="0.3">
      <c r="G326" s="17"/>
      <c r="H326" s="17"/>
      <c r="I326" s="17"/>
      <c r="J326" s="17"/>
      <c r="K326" s="17"/>
      <c r="L326" s="17"/>
      <c r="M326" s="17"/>
      <c r="N326" s="17"/>
      <c r="T326" s="13"/>
      <c r="U326" s="17"/>
      <c r="X326" s="17"/>
      <c r="Y326" s="17"/>
      <c r="Z326" s="22"/>
      <c r="AA326" s="22"/>
    </row>
    <row r="327" spans="1:28" ht="24" customHeight="1" x14ac:dyDescent="0.3">
      <c r="G327" s="17"/>
      <c r="H327" s="17"/>
      <c r="I327" s="17"/>
      <c r="J327" s="17"/>
      <c r="K327" s="17"/>
      <c r="L327" s="17"/>
      <c r="M327" s="17"/>
      <c r="N327" s="17"/>
      <c r="T327" s="13"/>
      <c r="U327" s="17"/>
      <c r="X327" s="17"/>
      <c r="Y327" s="17"/>
      <c r="Z327" s="22"/>
      <c r="AA327" s="22"/>
    </row>
    <row r="330" spans="1:28" s="39" customFormat="1" ht="34" x14ac:dyDescent="0.4">
      <c r="A330" s="38" t="s">
        <v>153</v>
      </c>
    </row>
    <row r="331" spans="1:28" ht="24" customHeight="1" x14ac:dyDescent="0.2">
      <c r="T331" t="str" cm="1">
        <f t="array" ref="T331:W331">MID(T328,{1,2,3,4},1)</f>
        <v/>
      </c>
      <c r="U331" t="str">
        <v/>
      </c>
      <c r="V331" t="str">
        <v/>
      </c>
      <c r="W331" t="str">
        <v/>
      </c>
    </row>
    <row r="332" spans="1:28" ht="24" customHeight="1" x14ac:dyDescent="0.2">
      <c r="D332" s="2" t="s">
        <v>139</v>
      </c>
      <c r="S332" s="2" t="s">
        <v>148</v>
      </c>
    </row>
    <row r="333" spans="1:28" ht="24" customHeight="1" x14ac:dyDescent="0.25">
      <c r="D333" s="14" t="s">
        <v>140</v>
      </c>
    </row>
    <row r="335" spans="1:28" ht="24" customHeight="1" x14ac:dyDescent="0.2">
      <c r="D335" s="2" t="s">
        <v>25</v>
      </c>
      <c r="S335" s="51" t="s">
        <v>136</v>
      </c>
      <c r="U335" s="13">
        <v>0</v>
      </c>
      <c r="V335" s="13">
        <v>1</v>
      </c>
      <c r="W335" s="13">
        <v>2</v>
      </c>
      <c r="X335" s="13">
        <v>3</v>
      </c>
      <c r="Y335" s="13">
        <v>4</v>
      </c>
      <c r="Z335" s="13">
        <v>5</v>
      </c>
      <c r="AA335" s="13">
        <v>6</v>
      </c>
      <c r="AB335" s="13">
        <v>7</v>
      </c>
    </row>
    <row r="336" spans="1:28" ht="24" customHeight="1" thickBot="1" x14ac:dyDescent="0.25"/>
    <row r="337" spans="3:28" ht="24" customHeight="1" thickBot="1" x14ac:dyDescent="0.35">
      <c r="C337" t="s">
        <v>31</v>
      </c>
      <c r="D337" s="40">
        <v>0</v>
      </c>
      <c r="E337" s="41">
        <v>0</v>
      </c>
      <c r="F337" s="41">
        <v>1</v>
      </c>
      <c r="G337" s="41">
        <v>2</v>
      </c>
      <c r="H337" s="41">
        <v>4</v>
      </c>
      <c r="I337" s="41">
        <v>1</v>
      </c>
      <c r="J337" s="41">
        <v>2</v>
      </c>
      <c r="K337" s="42">
        <v>3</v>
      </c>
      <c r="M337" s="46" cm="1">
        <f t="array" ref="M337">SUMPRODUCT(D337:K337,10^_xlfn.SEQUENCE(1,8,7,-1))</f>
        <v>124123</v>
      </c>
      <c r="S337" t="s">
        <v>134</v>
      </c>
      <c r="U337" s="48"/>
      <c r="V337" s="48"/>
      <c r="W337" s="48"/>
      <c r="X337" s="48"/>
      <c r="Y337" s="48"/>
      <c r="Z337" s="48"/>
      <c r="AA337" s="48"/>
      <c r="AB337" s="48"/>
    </row>
    <row r="338" spans="3:28" ht="24" customHeight="1" thickBot="1" x14ac:dyDescent="0.35">
      <c r="D338" s="40">
        <v>0</v>
      </c>
      <c r="E338" s="41">
        <v>0</v>
      </c>
      <c r="F338" s="41">
        <v>0</v>
      </c>
      <c r="G338" s="41">
        <v>5</v>
      </c>
      <c r="H338" s="41">
        <v>0</v>
      </c>
      <c r="I338" s="41">
        <v>2</v>
      </c>
      <c r="J338" s="41">
        <v>1</v>
      </c>
      <c r="K338" s="42">
        <v>5</v>
      </c>
      <c r="M338" s="46" cm="1">
        <f t="array" ref="M338">SUMPRODUCT(D338:K338,10^_xlfn.SEQUENCE(1,8,7,-1))</f>
        <v>50215</v>
      </c>
      <c r="S338" t="s">
        <v>137</v>
      </c>
      <c r="U338" s="49"/>
      <c r="V338" s="49"/>
      <c r="W338" s="49"/>
      <c r="X338" s="49"/>
      <c r="Y338" s="49"/>
      <c r="Z338" s="49"/>
      <c r="AA338" s="49"/>
      <c r="AB338" s="49"/>
    </row>
    <row r="339" spans="3:28" ht="24" customHeight="1" thickBot="1" x14ac:dyDescent="0.35">
      <c r="D339" s="40">
        <v>0</v>
      </c>
      <c r="E339" s="41">
        <v>4</v>
      </c>
      <c r="F339" s="41">
        <v>3</v>
      </c>
      <c r="G339" s="41">
        <v>2</v>
      </c>
      <c r="H339" s="41">
        <v>0</v>
      </c>
      <c r="I339" s="41">
        <v>1</v>
      </c>
      <c r="J339" s="41">
        <v>3</v>
      </c>
      <c r="K339" s="42">
        <v>1</v>
      </c>
      <c r="M339" s="46" cm="1">
        <f t="array" ref="M339">SUMPRODUCT(D339:K339,10^_xlfn.SEQUENCE(1,8,7,-1))</f>
        <v>4320131</v>
      </c>
      <c r="U339" s="49"/>
      <c r="V339" s="49"/>
      <c r="W339" s="49"/>
      <c r="X339" s="49"/>
      <c r="Y339" s="49"/>
      <c r="Z339" s="49"/>
      <c r="AA339" s="49"/>
      <c r="AB339" s="49"/>
    </row>
    <row r="340" spans="3:28" ht="24" customHeight="1" thickBot="1" x14ac:dyDescent="0.35">
      <c r="D340" s="40">
        <v>0</v>
      </c>
      <c r="E340" s="41">
        <v>0</v>
      </c>
      <c r="F340" s="41">
        <v>0</v>
      </c>
      <c r="G340" s="41">
        <v>0</v>
      </c>
      <c r="H340" s="41">
        <v>7</v>
      </c>
      <c r="I340" s="41">
        <v>2</v>
      </c>
      <c r="J340" s="41">
        <v>4</v>
      </c>
      <c r="K340" s="42">
        <v>3</v>
      </c>
      <c r="M340" s="46" cm="1">
        <f t="array" ref="M340">SUMPRODUCT(D340:K340,10^_xlfn.SEQUENCE(1,8,7,-1))</f>
        <v>7243</v>
      </c>
      <c r="U340" s="49"/>
      <c r="V340" s="49"/>
      <c r="W340" s="49"/>
      <c r="X340" s="49"/>
      <c r="Y340" s="49"/>
      <c r="Z340" s="49"/>
      <c r="AA340" s="49"/>
      <c r="AB340" s="49"/>
    </row>
    <row r="341" spans="3:28" ht="24" customHeight="1" thickBot="1" x14ac:dyDescent="0.35">
      <c r="C341" t="s">
        <v>32</v>
      </c>
      <c r="D341" s="40">
        <v>0</v>
      </c>
      <c r="E341" s="41">
        <v>0</v>
      </c>
      <c r="F341" s="41">
        <v>0</v>
      </c>
      <c r="G341" s="41">
        <v>0</v>
      </c>
      <c r="H341" s="41">
        <v>1</v>
      </c>
      <c r="I341" s="41">
        <v>1</v>
      </c>
      <c r="J341" s="41">
        <v>2</v>
      </c>
      <c r="K341" s="42">
        <v>3</v>
      </c>
      <c r="M341" s="46" cm="1">
        <f t="array" ref="M341">SUMPRODUCT(D341:K341,10^_xlfn.SEQUENCE(1,8,7,-1))</f>
        <v>1123</v>
      </c>
      <c r="U341" s="49"/>
      <c r="V341" s="49"/>
      <c r="W341" s="49"/>
      <c r="X341" s="49"/>
      <c r="Y341" s="49"/>
      <c r="Z341" s="49"/>
      <c r="AA341" s="49"/>
      <c r="AB341" s="49"/>
    </row>
    <row r="342" spans="3:28" ht="24" customHeight="1" thickBot="1" x14ac:dyDescent="0.35">
      <c r="D342" s="40">
        <v>0</v>
      </c>
      <c r="E342" s="41">
        <v>0</v>
      </c>
      <c r="F342" s="41">
        <v>0</v>
      </c>
      <c r="G342" s="41">
        <v>0</v>
      </c>
      <c r="H342" s="41">
        <v>0</v>
      </c>
      <c r="I342" s="41">
        <v>2</v>
      </c>
      <c r="J342" s="41">
        <v>1</v>
      </c>
      <c r="K342" s="42">
        <v>5</v>
      </c>
      <c r="M342" s="46" cm="1">
        <f t="array" ref="M342">SUMPRODUCT(D342:K342,10^_xlfn.SEQUENCE(1,8,7,-1))</f>
        <v>215</v>
      </c>
      <c r="U342" s="49"/>
      <c r="V342" s="49"/>
      <c r="W342" s="49"/>
      <c r="X342" s="49"/>
      <c r="Y342" s="49"/>
      <c r="Z342" s="49"/>
      <c r="AA342" s="49"/>
      <c r="AB342" s="49"/>
    </row>
    <row r="343" spans="3:28" ht="24" customHeight="1" thickBot="1" x14ac:dyDescent="0.35">
      <c r="D343" s="40">
        <v>0</v>
      </c>
      <c r="E343" s="41">
        <v>0</v>
      </c>
      <c r="F343" s="41">
        <v>0</v>
      </c>
      <c r="G343" s="41">
        <v>1</v>
      </c>
      <c r="H343" s="41">
        <v>0</v>
      </c>
      <c r="I343" s="41">
        <v>1</v>
      </c>
      <c r="J343" s="41">
        <v>3</v>
      </c>
      <c r="K343" s="42">
        <v>1</v>
      </c>
      <c r="M343" s="46" cm="1">
        <f t="array" ref="M343">SUMPRODUCT(D343:K343,10^_xlfn.SEQUENCE(1,8,7,-1))</f>
        <v>10131</v>
      </c>
      <c r="U343" s="49"/>
      <c r="V343" s="49"/>
      <c r="W343" s="49"/>
      <c r="X343" s="49"/>
      <c r="Y343" s="49"/>
      <c r="Z343" s="49"/>
      <c r="AA343" s="49"/>
      <c r="AB343" s="49"/>
    </row>
    <row r="344" spans="3:28" ht="24" customHeight="1" thickBot="1" x14ac:dyDescent="0.35">
      <c r="D344" s="40">
        <v>0</v>
      </c>
      <c r="E344" s="41">
        <v>0</v>
      </c>
      <c r="F344" s="41">
        <v>0</v>
      </c>
      <c r="G344" s="41">
        <v>0</v>
      </c>
      <c r="H344" s="41">
        <v>6</v>
      </c>
      <c r="I344" s="41">
        <v>2</v>
      </c>
      <c r="J344" s="41">
        <v>4</v>
      </c>
      <c r="K344" s="42">
        <v>3</v>
      </c>
      <c r="M344" s="46" cm="1">
        <f t="array" ref="M344">SUMPRODUCT(D344:K344,10^_xlfn.SEQUENCE(1,8,7,-1))</f>
        <v>6243</v>
      </c>
      <c r="U344" s="50"/>
      <c r="V344" s="50"/>
      <c r="W344" s="50"/>
      <c r="X344" s="50"/>
      <c r="Y344" s="50"/>
      <c r="Z344" s="50"/>
      <c r="AA344" s="50"/>
      <c r="AB344" s="50"/>
    </row>
    <row r="345" spans="3:28" ht="24" customHeight="1" thickBot="1" x14ac:dyDescent="0.35">
      <c r="C345" t="s">
        <v>29</v>
      </c>
      <c r="D345" s="40"/>
      <c r="E345" s="41"/>
      <c r="F345" s="41"/>
      <c r="G345" s="41"/>
      <c r="H345" s="41"/>
      <c r="I345" s="41"/>
      <c r="J345" s="41"/>
      <c r="K345" s="42"/>
      <c r="M345" s="46" cm="1">
        <f t="array" ref="M345">SUMPRODUCT(D345:K345,10^_xlfn.SEQUENCE(1,8,7,-1))</f>
        <v>0</v>
      </c>
      <c r="O345" s="46" cm="1">
        <f t="array" ref="O345:O348">M337:M340+M341:M344</f>
        <v>125246</v>
      </c>
      <c r="S345" t="s">
        <v>135</v>
      </c>
      <c r="U345" s="48"/>
      <c r="V345" s="48"/>
      <c r="W345" s="48"/>
      <c r="X345" s="48"/>
      <c r="Y345" s="48"/>
      <c r="Z345" s="48"/>
      <c r="AA345" s="48"/>
      <c r="AB345" s="48"/>
    </row>
    <row r="346" spans="3:28" ht="24" customHeight="1" thickBot="1" x14ac:dyDescent="0.35">
      <c r="D346" s="40"/>
      <c r="E346" s="41"/>
      <c r="F346" s="41"/>
      <c r="G346" s="41"/>
      <c r="H346" s="41"/>
      <c r="I346" s="41"/>
      <c r="J346" s="41"/>
      <c r="K346" s="42"/>
      <c r="M346" s="46" cm="1">
        <f t="array" ref="M346">SUMPRODUCT(D346:K346,10^_xlfn.SEQUENCE(1,8,7,-1))</f>
        <v>0</v>
      </c>
      <c r="O346" s="46">
        <v>50430</v>
      </c>
      <c r="S346" t="s">
        <v>137</v>
      </c>
      <c r="U346" s="49"/>
      <c r="V346" s="49"/>
      <c r="W346" s="49"/>
      <c r="X346" s="49"/>
      <c r="Y346" s="49"/>
      <c r="Z346" s="49"/>
      <c r="AA346" s="49"/>
      <c r="AB346" s="49"/>
    </row>
    <row r="347" spans="3:28" ht="24" customHeight="1" thickBot="1" x14ac:dyDescent="0.35">
      <c r="D347" s="40"/>
      <c r="E347" s="41"/>
      <c r="F347" s="41"/>
      <c r="G347" s="41"/>
      <c r="H347" s="41"/>
      <c r="I347" s="41"/>
      <c r="J347" s="41"/>
      <c r="K347" s="42"/>
      <c r="M347" s="46" cm="1">
        <f t="array" ref="M347">SUMPRODUCT(D347:K347,10^_xlfn.SEQUENCE(1,8,7,-1))</f>
        <v>0</v>
      </c>
      <c r="O347" s="46">
        <v>4330262</v>
      </c>
      <c r="U347" s="49"/>
      <c r="V347" s="49"/>
      <c r="W347" s="49"/>
      <c r="X347" s="49"/>
      <c r="Y347" s="49"/>
      <c r="Z347" s="49"/>
      <c r="AA347" s="49"/>
      <c r="AB347" s="49"/>
    </row>
    <row r="348" spans="3:28" ht="24" customHeight="1" thickBot="1" x14ac:dyDescent="0.35">
      <c r="D348" s="40"/>
      <c r="E348" s="41"/>
      <c r="F348" s="41"/>
      <c r="G348" s="41"/>
      <c r="H348" s="41"/>
      <c r="I348" s="41"/>
      <c r="J348" s="41"/>
      <c r="K348" s="42"/>
      <c r="M348" s="46" cm="1">
        <f t="array" ref="M348">SUMPRODUCT(D348:K348,10^_xlfn.SEQUENCE(1,8,7,-1))</f>
        <v>0</v>
      </c>
      <c r="O348" s="46">
        <v>13486</v>
      </c>
      <c r="U348" s="49"/>
      <c r="V348" s="49"/>
      <c r="W348" s="49"/>
      <c r="X348" s="49"/>
      <c r="Y348" s="49"/>
      <c r="Z348" s="49"/>
      <c r="AA348" s="49"/>
      <c r="AB348" s="49"/>
    </row>
    <row r="349" spans="3:28" ht="24" customHeight="1" x14ac:dyDescent="0.3">
      <c r="U349" s="49"/>
      <c r="V349" s="49"/>
      <c r="W349" s="49"/>
      <c r="X349" s="49"/>
      <c r="Y349" s="49"/>
      <c r="Z349" s="49"/>
      <c r="AA349" s="49"/>
      <c r="AB349" s="49"/>
    </row>
    <row r="350" spans="3:28" ht="24" customHeight="1" x14ac:dyDescent="0.3">
      <c r="U350" s="49"/>
      <c r="V350" s="49"/>
      <c r="W350" s="49"/>
      <c r="X350" s="49"/>
      <c r="Y350" s="49"/>
      <c r="Z350" s="49"/>
      <c r="AA350" s="49"/>
      <c r="AB350" s="49"/>
    </row>
    <row r="351" spans="3:28" ht="24" customHeight="1" x14ac:dyDescent="0.3">
      <c r="U351" s="49"/>
      <c r="V351" s="49"/>
      <c r="W351" s="49"/>
      <c r="X351" s="49"/>
      <c r="Y351" s="49"/>
      <c r="Z351" s="49"/>
      <c r="AA351" s="49"/>
      <c r="AB351" s="49"/>
    </row>
    <row r="352" spans="3:28" ht="24" customHeight="1" thickBot="1" x14ac:dyDescent="0.35">
      <c r="U352" s="50"/>
      <c r="V352" s="50"/>
      <c r="W352" s="50"/>
      <c r="X352" s="50"/>
      <c r="Y352" s="50"/>
      <c r="Z352" s="50"/>
      <c r="AA352" s="50"/>
      <c r="AB352" s="50"/>
    </row>
    <row r="353" spans="1:32" ht="24" customHeight="1" x14ac:dyDescent="0.3">
      <c r="S353" t="s">
        <v>138</v>
      </c>
      <c r="U353" s="48"/>
      <c r="V353" s="48"/>
      <c r="W353" s="48"/>
      <c r="X353" s="48"/>
      <c r="Y353" s="48"/>
      <c r="Z353" s="48"/>
      <c r="AA353" s="48"/>
      <c r="AB353" s="48"/>
    </row>
    <row r="354" spans="1:32" ht="24" customHeight="1" x14ac:dyDescent="0.3">
      <c r="S354" t="s">
        <v>137</v>
      </c>
      <c r="U354" s="49"/>
      <c r="V354" s="49"/>
      <c r="W354" s="49"/>
      <c r="X354" s="49"/>
      <c r="Y354" s="49"/>
      <c r="Z354" s="49"/>
      <c r="AA354" s="49"/>
      <c r="AB354" s="49"/>
    </row>
    <row r="355" spans="1:32" ht="24" customHeight="1" x14ac:dyDescent="0.3">
      <c r="U355" s="49"/>
      <c r="V355" s="49"/>
      <c r="W355" s="49"/>
      <c r="X355" s="49"/>
      <c r="Y355" s="49"/>
      <c r="Z355" s="49"/>
      <c r="AA355" s="49"/>
      <c r="AB355" s="49"/>
    </row>
    <row r="356" spans="1:32" ht="24" customHeight="1" x14ac:dyDescent="0.3">
      <c r="U356" s="49"/>
      <c r="V356" s="49"/>
      <c r="W356" s="49"/>
      <c r="X356" s="49"/>
      <c r="Y356" s="49"/>
      <c r="Z356" s="49"/>
      <c r="AA356" s="49"/>
      <c r="AB356" s="49"/>
    </row>
    <row r="357" spans="1:32" ht="24" customHeight="1" x14ac:dyDescent="0.3">
      <c r="U357" s="49"/>
      <c r="V357" s="49"/>
      <c r="W357" s="49"/>
      <c r="X357" s="49"/>
      <c r="Y357" s="49"/>
      <c r="Z357" s="49"/>
      <c r="AA357" s="49"/>
      <c r="AB357" s="49"/>
    </row>
    <row r="358" spans="1:32" ht="24" customHeight="1" x14ac:dyDescent="0.3">
      <c r="U358" s="49"/>
      <c r="V358" s="49"/>
      <c r="W358" s="49"/>
      <c r="X358" s="49"/>
      <c r="Y358" s="49"/>
      <c r="Z358" s="49"/>
      <c r="AA358" s="49"/>
      <c r="AB358" s="49"/>
    </row>
    <row r="359" spans="1:32" ht="24" customHeight="1" x14ac:dyDescent="0.3">
      <c r="U359" s="49"/>
      <c r="V359" s="49"/>
      <c r="W359" s="49"/>
      <c r="X359" s="49"/>
      <c r="Y359" s="49"/>
      <c r="Z359" s="49"/>
      <c r="AA359" s="49"/>
      <c r="AB359" s="49"/>
    </row>
    <row r="360" spans="1:32" ht="24" customHeight="1" thickBot="1" x14ac:dyDescent="0.35">
      <c r="U360" s="50"/>
      <c r="V360" s="50"/>
      <c r="W360" s="50"/>
      <c r="X360" s="50"/>
      <c r="Y360" s="50"/>
      <c r="Z360" s="50"/>
      <c r="AA360" s="50"/>
      <c r="AB360" s="50"/>
    </row>
    <row r="362" spans="1:32" s="39" customFormat="1" ht="34" x14ac:dyDescent="0.4">
      <c r="A362" s="38" t="s">
        <v>143</v>
      </c>
    </row>
    <row r="363" spans="1:32" ht="24" customHeight="1" x14ac:dyDescent="0.2">
      <c r="A363" s="47"/>
    </row>
    <row r="364" spans="1:32" ht="24" customHeight="1" x14ac:dyDescent="0.2">
      <c r="A364" t="s">
        <v>132</v>
      </c>
    </row>
    <row r="365" spans="1:32" ht="24" customHeight="1" thickBot="1" x14ac:dyDescent="0.25">
      <c r="D365" s="44" t="s">
        <v>126</v>
      </c>
      <c r="G365" s="13"/>
      <c r="H365" s="13"/>
      <c r="I365" s="13"/>
      <c r="J365" s="13"/>
      <c r="T365" s="44" t="s">
        <v>126</v>
      </c>
      <c r="W365" s="13"/>
      <c r="X365" s="13"/>
      <c r="Y365" s="13"/>
      <c r="Z365" s="13"/>
    </row>
    <row r="366" spans="1:32" ht="24" customHeight="1" thickBot="1" x14ac:dyDescent="0.35">
      <c r="G366" s="40">
        <v>0</v>
      </c>
      <c r="H366" s="41">
        <v>0</v>
      </c>
      <c r="I366" s="41">
        <v>1</v>
      </c>
      <c r="J366" s="41">
        <v>2</v>
      </c>
      <c r="K366" s="41">
        <v>4</v>
      </c>
      <c r="L366" s="41">
        <v>1</v>
      </c>
      <c r="M366" s="41">
        <v>2</v>
      </c>
      <c r="N366" s="42">
        <v>3</v>
      </c>
      <c r="P366" s="46" cm="1">
        <f t="array" ref="P366">SUMPRODUCT(G366:N366,10^_xlfn.SEQUENCE(1,8,7,-1))</f>
        <v>124123</v>
      </c>
      <c r="W366" s="40">
        <v>0</v>
      </c>
      <c r="X366" s="41">
        <v>0</v>
      </c>
      <c r="Y366" s="41">
        <v>0</v>
      </c>
      <c r="Z366" s="41">
        <v>0</v>
      </c>
      <c r="AA366" s="41">
        <v>1</v>
      </c>
      <c r="AB366" s="41">
        <v>1</v>
      </c>
      <c r="AC366" s="41">
        <v>2</v>
      </c>
      <c r="AD366" s="42">
        <v>3</v>
      </c>
      <c r="AF366" s="46" cm="1">
        <f t="array" ref="AF366">SUMPRODUCT(W366:AD366,10^_xlfn.SEQUENCE(1,8,7,-1))</f>
        <v>1123</v>
      </c>
    </row>
    <row r="367" spans="1:32" ht="24" customHeight="1" thickBot="1" x14ac:dyDescent="0.35">
      <c r="G367" s="40">
        <v>0</v>
      </c>
      <c r="H367" s="41">
        <v>0</v>
      </c>
      <c r="I367" s="41">
        <v>0</v>
      </c>
      <c r="J367" s="41">
        <v>5</v>
      </c>
      <c r="K367" s="41">
        <v>0</v>
      </c>
      <c r="L367" s="41">
        <v>2</v>
      </c>
      <c r="M367" s="41">
        <v>1</v>
      </c>
      <c r="N367" s="42">
        <v>5</v>
      </c>
      <c r="P367" s="46" cm="1">
        <f t="array" ref="P367">SUMPRODUCT(G367:N367,10^_xlfn.SEQUENCE(1,8,7,-1))</f>
        <v>50215</v>
      </c>
      <c r="W367" s="40">
        <v>0</v>
      </c>
      <c r="X367" s="41">
        <v>0</v>
      </c>
      <c r="Y367" s="41">
        <v>0</v>
      </c>
      <c r="Z367" s="41">
        <v>0</v>
      </c>
      <c r="AA367" s="41">
        <v>0</v>
      </c>
      <c r="AB367" s="41">
        <v>2</v>
      </c>
      <c r="AC367" s="41">
        <v>1</v>
      </c>
      <c r="AD367" s="42">
        <v>5</v>
      </c>
      <c r="AF367" s="46" cm="1">
        <f t="array" ref="AF367">SUMPRODUCT(W367:AD367,10^_xlfn.SEQUENCE(1,8,7,-1))</f>
        <v>215</v>
      </c>
    </row>
    <row r="368" spans="1:32" ht="24" customHeight="1" thickBot="1" x14ac:dyDescent="0.35">
      <c r="G368" s="40">
        <v>0</v>
      </c>
      <c r="H368" s="41">
        <v>4</v>
      </c>
      <c r="I368" s="41">
        <v>3</v>
      </c>
      <c r="J368" s="41">
        <v>2</v>
      </c>
      <c r="K368" s="41">
        <v>0</v>
      </c>
      <c r="L368" s="41">
        <v>1</v>
      </c>
      <c r="M368" s="41">
        <v>3</v>
      </c>
      <c r="N368" s="42">
        <v>1</v>
      </c>
      <c r="P368" s="46" cm="1">
        <f t="array" ref="P368">SUMPRODUCT(G368:N368,10^_xlfn.SEQUENCE(1,8,7,-1))</f>
        <v>4320131</v>
      </c>
      <c r="W368" s="40">
        <v>0</v>
      </c>
      <c r="X368" s="41">
        <v>0</v>
      </c>
      <c r="Y368" s="41">
        <v>0</v>
      </c>
      <c r="Z368" s="41">
        <v>1</v>
      </c>
      <c r="AA368" s="41">
        <v>0</v>
      </c>
      <c r="AB368" s="41">
        <v>1</v>
      </c>
      <c r="AC368" s="41">
        <v>3</v>
      </c>
      <c r="AD368" s="42">
        <v>1</v>
      </c>
      <c r="AF368" s="46" cm="1">
        <f t="array" ref="AF368">SUMPRODUCT(W368:AD368,10^_xlfn.SEQUENCE(1,8,7,-1))</f>
        <v>10131</v>
      </c>
    </row>
    <row r="369" spans="1:32" ht="24" customHeight="1" thickBot="1" x14ac:dyDescent="0.35">
      <c r="G369" s="40">
        <v>0</v>
      </c>
      <c r="H369" s="41">
        <v>0</v>
      </c>
      <c r="I369" s="41">
        <v>0</v>
      </c>
      <c r="J369" s="41">
        <v>0</v>
      </c>
      <c r="K369" s="41">
        <v>7</v>
      </c>
      <c r="L369" s="41">
        <v>2</v>
      </c>
      <c r="M369" s="41">
        <v>4</v>
      </c>
      <c r="N369" s="42">
        <v>3</v>
      </c>
      <c r="P369" s="46" cm="1">
        <f t="array" ref="P369">SUMPRODUCT(G369:N369,10^_xlfn.SEQUENCE(1,8,7,-1))</f>
        <v>7243</v>
      </c>
      <c r="W369" s="40">
        <v>0</v>
      </c>
      <c r="X369" s="41">
        <v>0</v>
      </c>
      <c r="Y369" s="41">
        <v>0</v>
      </c>
      <c r="Z369" s="41">
        <v>0</v>
      </c>
      <c r="AA369" s="41">
        <v>6</v>
      </c>
      <c r="AB369" s="41">
        <v>2</v>
      </c>
      <c r="AC369" s="41">
        <v>4</v>
      </c>
      <c r="AD369" s="42">
        <v>3</v>
      </c>
      <c r="AF369" s="46" cm="1">
        <f t="array" ref="AF369">SUMPRODUCT(W369:AD369,10^_xlfn.SEQUENCE(1,8,7,-1))</f>
        <v>6243</v>
      </c>
    </row>
    <row r="370" spans="1:32" ht="24" customHeight="1" x14ac:dyDescent="0.3">
      <c r="G370" s="17"/>
      <c r="H370" s="17"/>
      <c r="I370" s="17"/>
      <c r="J370" s="17"/>
      <c r="K370" s="17"/>
      <c r="L370" s="17"/>
      <c r="M370" s="17"/>
      <c r="N370" s="17"/>
      <c r="W370" s="17"/>
      <c r="X370" s="17"/>
      <c r="Y370" s="17"/>
      <c r="Z370" s="17"/>
      <c r="AA370" s="17"/>
      <c r="AB370" s="17"/>
      <c r="AC370" s="17"/>
      <c r="AD370" s="17"/>
    </row>
    <row r="371" spans="1:32" ht="24" customHeight="1" x14ac:dyDescent="0.2">
      <c r="B371" s="45" t="s">
        <v>130</v>
      </c>
      <c r="S371" s="45" t="s">
        <v>130</v>
      </c>
    </row>
    <row r="372" spans="1:32" ht="24" customHeight="1" thickBot="1" x14ac:dyDescent="0.25">
      <c r="D372" s="44" t="s">
        <v>127</v>
      </c>
      <c r="T372" s="44" t="s">
        <v>127</v>
      </c>
    </row>
    <row r="373" spans="1:32" ht="24" customHeight="1" thickBot="1" x14ac:dyDescent="0.35">
      <c r="G373" s="40"/>
      <c r="H373" s="41"/>
      <c r="I373" s="41"/>
      <c r="J373" s="42"/>
      <c r="L373" s="46" cm="1">
        <f t="array" ref="L373">SUMPRODUCT(G373:J373,10^_xlfn.SEQUENCE(1,4,3,-1))</f>
        <v>0</v>
      </c>
      <c r="W373" s="40"/>
      <c r="X373" s="41"/>
      <c r="Y373" s="41"/>
      <c r="Z373" s="42"/>
      <c r="AB373" s="46" cm="1">
        <f t="array" ref="AB373">SUMPRODUCT(W373:Z373,10^_xlfn.SEQUENCE(1,4,3,-1))</f>
        <v>0</v>
      </c>
    </row>
    <row r="374" spans="1:32" ht="24" customHeight="1" thickBot="1" x14ac:dyDescent="0.35">
      <c r="G374" s="40"/>
      <c r="H374" s="41"/>
      <c r="I374" s="41"/>
      <c r="J374" s="42"/>
      <c r="L374" s="46" cm="1">
        <f t="array" ref="L374">SUMPRODUCT(G374:J374,10^_xlfn.SEQUENCE(1,4,3,-1))</f>
        <v>0</v>
      </c>
      <c r="W374" s="40"/>
      <c r="X374" s="41"/>
      <c r="Y374" s="41"/>
      <c r="Z374" s="42"/>
      <c r="AB374" s="46" cm="1">
        <f t="array" ref="AB374">SUMPRODUCT(W374:Z374,10^_xlfn.SEQUENCE(1,4,3,-1))</f>
        <v>0</v>
      </c>
    </row>
    <row r="375" spans="1:32" ht="24" customHeight="1" thickBot="1" x14ac:dyDescent="0.35">
      <c r="G375" s="40"/>
      <c r="H375" s="41"/>
      <c r="I375" s="41"/>
      <c r="J375" s="42"/>
      <c r="L375" s="46" cm="1">
        <f t="array" ref="L375">SUMPRODUCT(G375:J375,10^_xlfn.SEQUENCE(1,4,3,-1))</f>
        <v>0</v>
      </c>
      <c r="W375" s="40"/>
      <c r="X375" s="41"/>
      <c r="Y375" s="41"/>
      <c r="Z375" s="42"/>
      <c r="AB375" s="46" cm="1">
        <f t="array" ref="AB375">SUMPRODUCT(W375:Z375,10^_xlfn.SEQUENCE(1,4,3,-1))</f>
        <v>0</v>
      </c>
    </row>
    <row r="376" spans="1:32" ht="24" customHeight="1" thickBot="1" x14ac:dyDescent="0.35">
      <c r="G376" s="40"/>
      <c r="H376" s="41"/>
      <c r="I376" s="41"/>
      <c r="J376" s="42"/>
      <c r="L376" s="46" cm="1">
        <f t="array" ref="L376">SUMPRODUCT(G376:J376,10^_xlfn.SEQUENCE(1,4,3,-1))</f>
        <v>0</v>
      </c>
      <c r="W376" s="40"/>
      <c r="X376" s="41"/>
      <c r="Y376" s="41"/>
      <c r="Z376" s="42"/>
      <c r="AB376" s="46" cm="1">
        <f t="array" ref="AB376">SUMPRODUCT(W376:Z376,10^_xlfn.SEQUENCE(1,4,3,-1))</f>
        <v>0</v>
      </c>
    </row>
    <row r="377" spans="1:32" ht="24" customHeight="1" x14ac:dyDescent="0.3">
      <c r="G377" s="17"/>
      <c r="H377" s="17"/>
      <c r="I377" s="17"/>
      <c r="J377" s="17"/>
      <c r="W377" s="17"/>
      <c r="X377" s="17"/>
      <c r="Y377" s="17"/>
      <c r="Z377" s="17"/>
    </row>
    <row r="378" spans="1:32" ht="24" customHeight="1" x14ac:dyDescent="0.2">
      <c r="B378" s="45" t="s">
        <v>131</v>
      </c>
      <c r="S378" s="45" t="s">
        <v>131</v>
      </c>
    </row>
    <row r="379" spans="1:32" ht="24" customHeight="1" thickBot="1" x14ac:dyDescent="0.25">
      <c r="D379" s="44" t="s">
        <v>126</v>
      </c>
      <c r="G379" s="13"/>
      <c r="H379" s="13"/>
      <c r="I379" s="13"/>
      <c r="J379" s="13"/>
      <c r="T379" s="44" t="s">
        <v>126</v>
      </c>
      <c r="W379" s="13"/>
      <c r="X379" s="13"/>
      <c r="Y379" s="13"/>
      <c r="Z379" s="13"/>
    </row>
    <row r="380" spans="1:32" ht="24" customHeight="1" thickBot="1" x14ac:dyDescent="0.35">
      <c r="G380" s="40"/>
      <c r="H380" s="41"/>
      <c r="I380" s="41"/>
      <c r="J380" s="41"/>
      <c r="K380" s="41"/>
      <c r="L380" s="41"/>
      <c r="M380" s="41"/>
      <c r="N380" s="42"/>
      <c r="P380" s="46" cm="1">
        <f t="array" ref="P380">SUMPRODUCT(G380:N380,10^_xlfn.SEQUENCE(1,8,7,-1))</f>
        <v>0</v>
      </c>
      <c r="W380" s="40"/>
      <c r="X380" s="41"/>
      <c r="Y380" s="41"/>
      <c r="Z380" s="41"/>
      <c r="AA380" s="41"/>
      <c r="AB380" s="41"/>
      <c r="AC380" s="41"/>
      <c r="AD380" s="42"/>
      <c r="AF380" s="46" cm="1">
        <f t="array" ref="AF380">SUMPRODUCT(W380:AD380,10^_xlfn.SEQUENCE(1,8,7,-1))</f>
        <v>0</v>
      </c>
    </row>
    <row r="381" spans="1:32" ht="24" customHeight="1" thickBot="1" x14ac:dyDescent="0.35">
      <c r="G381" s="40"/>
      <c r="H381" s="41"/>
      <c r="I381" s="41"/>
      <c r="J381" s="41"/>
      <c r="K381" s="41"/>
      <c r="L381" s="41"/>
      <c r="M381" s="41"/>
      <c r="N381" s="42"/>
      <c r="P381" s="46" cm="1">
        <f t="array" ref="P381">SUMPRODUCT(G381:N381,10^_xlfn.SEQUENCE(1,8,7,-1))</f>
        <v>0</v>
      </c>
      <c r="W381" s="40"/>
      <c r="X381" s="41"/>
      <c r="Y381" s="41"/>
      <c r="Z381" s="41"/>
      <c r="AA381" s="41"/>
      <c r="AB381" s="41"/>
      <c r="AC381" s="41"/>
      <c r="AD381" s="42"/>
      <c r="AF381" s="46" cm="1">
        <f t="array" ref="AF381">SUMPRODUCT(W381:AD381,10^_xlfn.SEQUENCE(1,8,7,-1))</f>
        <v>0</v>
      </c>
    </row>
    <row r="382" spans="1:32" ht="24" customHeight="1" thickBot="1" x14ac:dyDescent="0.35">
      <c r="G382" s="40"/>
      <c r="H382" s="41"/>
      <c r="I382" s="41"/>
      <c r="J382" s="41"/>
      <c r="K382" s="41"/>
      <c r="L382" s="41"/>
      <c r="M382" s="41"/>
      <c r="N382" s="42"/>
      <c r="P382" s="46" cm="1">
        <f t="array" ref="P382">SUMPRODUCT(G382:N382,10^_xlfn.SEQUENCE(1,8,7,-1))</f>
        <v>0</v>
      </c>
      <c r="W382" s="40"/>
      <c r="X382" s="41"/>
      <c r="Y382" s="41"/>
      <c r="Z382" s="41"/>
      <c r="AA382" s="41"/>
      <c r="AB382" s="41"/>
      <c r="AC382" s="41"/>
      <c r="AD382" s="42"/>
      <c r="AF382" s="46" cm="1">
        <f t="array" ref="AF382">SUMPRODUCT(W382:AD382,10^_xlfn.SEQUENCE(1,8,7,-1))</f>
        <v>0</v>
      </c>
    </row>
    <row r="383" spans="1:32" ht="24" customHeight="1" thickBot="1" x14ac:dyDescent="0.35">
      <c r="A383" t="s">
        <v>146</v>
      </c>
      <c r="G383" s="40"/>
      <c r="H383" s="41"/>
      <c r="I383" s="41"/>
      <c r="J383" s="41"/>
      <c r="K383" s="41"/>
      <c r="L383" s="41"/>
      <c r="M383" s="41"/>
      <c r="N383" s="42"/>
      <c r="P383" s="46" cm="1">
        <f t="array" ref="P383">SUMPRODUCT(G383:N383,10^_xlfn.SEQUENCE(1,8,7,-1))</f>
        <v>0</v>
      </c>
      <c r="W383" s="40"/>
      <c r="X383" s="41"/>
      <c r="Y383" s="41"/>
      <c r="Z383" s="41"/>
      <c r="AA383" s="41"/>
      <c r="AB383" s="41"/>
      <c r="AC383" s="41"/>
      <c r="AD383" s="42"/>
      <c r="AF383" s="46" cm="1">
        <f t="array" ref="AF383">SUMPRODUCT(W383:AD383,10^_xlfn.SEQUENCE(1,8,7,-1))</f>
        <v>0</v>
      </c>
    </row>
    <row r="386" spans="1:28" s="39" customFormat="1" ht="34" x14ac:dyDescent="0.4">
      <c r="A386" s="38" t="s">
        <v>149</v>
      </c>
    </row>
    <row r="388" spans="1:28" ht="24" customHeight="1" x14ac:dyDescent="0.2">
      <c r="D388" s="2" t="s">
        <v>139</v>
      </c>
      <c r="S388" s="2" t="s">
        <v>148</v>
      </c>
    </row>
    <row r="389" spans="1:28" ht="24" customHeight="1" x14ac:dyDescent="0.25">
      <c r="D389" s="14" t="s">
        <v>140</v>
      </c>
    </row>
    <row r="391" spans="1:28" ht="24" customHeight="1" x14ac:dyDescent="0.2">
      <c r="D391" s="2" t="s">
        <v>25</v>
      </c>
      <c r="S391" s="51" t="s">
        <v>136</v>
      </c>
      <c r="U391" s="13">
        <v>0</v>
      </c>
      <c r="V391" s="13">
        <v>1</v>
      </c>
      <c r="W391" s="13">
        <v>2</v>
      </c>
      <c r="X391" s="13">
        <v>3</v>
      </c>
      <c r="Y391" s="13">
        <v>4</v>
      </c>
      <c r="Z391" s="13">
        <v>5</v>
      </c>
      <c r="AA391" s="13">
        <v>6</v>
      </c>
      <c r="AB391" s="13">
        <v>7</v>
      </c>
    </row>
    <row r="392" spans="1:28" ht="24" customHeight="1" thickBot="1" x14ac:dyDescent="0.25"/>
    <row r="393" spans="1:28" ht="24" customHeight="1" thickBot="1" x14ac:dyDescent="0.35">
      <c r="C393" t="s">
        <v>31</v>
      </c>
      <c r="D393" s="40">
        <v>0</v>
      </c>
      <c r="E393" s="41">
        <v>0</v>
      </c>
      <c r="F393" s="41">
        <v>1</v>
      </c>
      <c r="G393" s="42">
        <v>2</v>
      </c>
      <c r="I393" s="46" cm="1">
        <f t="array" ref="I393">SUMPRODUCT(D393:G393,10^_xlfn.SEQUENCE(1,4,3,-1))</f>
        <v>12</v>
      </c>
      <c r="N393" t="s">
        <v>31</v>
      </c>
      <c r="O393" s="1" t="s">
        <v>144</v>
      </c>
      <c r="P393" t="s">
        <v>131</v>
      </c>
      <c r="S393" t="s">
        <v>134</v>
      </c>
      <c r="U393" s="48"/>
      <c r="V393" s="48"/>
      <c r="W393" s="48"/>
      <c r="X393" s="48"/>
      <c r="Y393" s="48"/>
      <c r="Z393" s="48"/>
      <c r="AA393" s="48"/>
      <c r="AB393" s="48"/>
    </row>
    <row r="394" spans="1:28" ht="24" customHeight="1" thickBot="1" x14ac:dyDescent="0.35">
      <c r="D394" s="40">
        <v>0</v>
      </c>
      <c r="E394" s="41">
        <v>0</v>
      </c>
      <c r="F394" s="41">
        <v>0</v>
      </c>
      <c r="G394" s="42">
        <v>5</v>
      </c>
      <c r="I394" s="46" cm="1">
        <f t="array" ref="I394">SUMPRODUCT(D394:G394,10^_xlfn.SEQUENCE(1,4,3,-1))</f>
        <v>5</v>
      </c>
      <c r="S394" t="s">
        <v>137</v>
      </c>
      <c r="U394" s="49"/>
      <c r="V394" s="49"/>
      <c r="W394" s="49"/>
      <c r="X394" s="49"/>
      <c r="Y394" s="49"/>
      <c r="Z394" s="49"/>
      <c r="AA394" s="49"/>
      <c r="AB394" s="49"/>
    </row>
    <row r="395" spans="1:28" ht="24" customHeight="1" thickBot="1" x14ac:dyDescent="0.35">
      <c r="D395" s="40">
        <v>0</v>
      </c>
      <c r="E395" s="41">
        <v>4</v>
      </c>
      <c r="F395" s="41">
        <v>3</v>
      </c>
      <c r="G395" s="42">
        <v>2</v>
      </c>
      <c r="I395" s="46" cm="1">
        <f t="array" ref="I395">SUMPRODUCT(D395:G395,10^_xlfn.SEQUENCE(1,4,3,-1))</f>
        <v>432</v>
      </c>
      <c r="U395" s="49"/>
      <c r="V395" s="49"/>
      <c r="W395" s="49"/>
      <c r="X395" s="49"/>
      <c r="Y395" s="49"/>
      <c r="Z395" s="49"/>
      <c r="AA395" s="49"/>
      <c r="AB395" s="49"/>
    </row>
    <row r="396" spans="1:28" ht="24" customHeight="1" thickBot="1" x14ac:dyDescent="0.35">
      <c r="D396" s="40">
        <v>0</v>
      </c>
      <c r="E396" s="41">
        <v>0</v>
      </c>
      <c r="F396" s="41">
        <v>0</v>
      </c>
      <c r="G396" s="42">
        <v>0</v>
      </c>
      <c r="I396" s="46" cm="1">
        <f t="array" ref="I396">SUMPRODUCT(D396:G396,10^_xlfn.SEQUENCE(1,4,3,-1))</f>
        <v>0</v>
      </c>
      <c r="U396" s="49"/>
      <c r="V396" s="49"/>
      <c r="W396" s="49"/>
      <c r="X396" s="49"/>
      <c r="Y396" s="49"/>
      <c r="Z396" s="49"/>
      <c r="AA396" s="49"/>
      <c r="AB396" s="49"/>
    </row>
    <row r="397" spans="1:28" ht="24" customHeight="1" thickBot="1" x14ac:dyDescent="0.35">
      <c r="C397" t="s">
        <v>32</v>
      </c>
      <c r="D397" s="40">
        <v>0</v>
      </c>
      <c r="E397" s="41">
        <v>0</v>
      </c>
      <c r="F397" s="41">
        <v>0</v>
      </c>
      <c r="G397" s="42">
        <v>0</v>
      </c>
      <c r="I397" s="46" cm="1">
        <f t="array" ref="I397">SUMPRODUCT(D397:G397,10^_xlfn.SEQUENCE(1,4,3,-1))</f>
        <v>0</v>
      </c>
      <c r="U397" s="49"/>
      <c r="V397" s="49"/>
      <c r="W397" s="49"/>
      <c r="X397" s="49"/>
      <c r="Y397" s="49"/>
      <c r="Z397" s="49"/>
      <c r="AA397" s="49"/>
      <c r="AB397" s="49"/>
    </row>
    <row r="398" spans="1:28" ht="24" customHeight="1" thickBot="1" x14ac:dyDescent="0.35">
      <c r="D398" s="40">
        <v>0</v>
      </c>
      <c r="E398" s="41">
        <v>0</v>
      </c>
      <c r="F398" s="41">
        <v>0</v>
      </c>
      <c r="G398" s="42">
        <v>0</v>
      </c>
      <c r="I398" s="46" cm="1">
        <f t="array" ref="I398">SUMPRODUCT(D398:G398,10^_xlfn.SEQUENCE(1,4,3,-1))</f>
        <v>0</v>
      </c>
      <c r="U398" s="49"/>
      <c r="V398" s="49"/>
      <c r="W398" s="49"/>
      <c r="X398" s="49"/>
      <c r="Y398" s="49"/>
      <c r="Z398" s="49"/>
      <c r="AA398" s="49"/>
      <c r="AB398" s="49"/>
    </row>
    <row r="399" spans="1:28" ht="24" customHeight="1" thickBot="1" x14ac:dyDescent="0.35">
      <c r="D399" s="40">
        <v>0</v>
      </c>
      <c r="E399" s="41">
        <v>0</v>
      </c>
      <c r="F399" s="41">
        <v>0</v>
      </c>
      <c r="G399" s="42">
        <v>1</v>
      </c>
      <c r="I399" s="46" cm="1">
        <f t="array" ref="I399">SUMPRODUCT(D399:G399,10^_xlfn.SEQUENCE(1,4,3,-1))</f>
        <v>1</v>
      </c>
      <c r="U399" s="49"/>
      <c r="V399" s="49"/>
      <c r="W399" s="49"/>
      <c r="X399" s="49"/>
      <c r="Y399" s="49"/>
      <c r="Z399" s="49"/>
      <c r="AA399" s="49"/>
      <c r="AB399" s="49"/>
    </row>
    <row r="400" spans="1:28" ht="24" customHeight="1" thickBot="1" x14ac:dyDescent="0.35">
      <c r="D400" s="40">
        <v>0</v>
      </c>
      <c r="E400" s="41">
        <v>0</v>
      </c>
      <c r="F400" s="41">
        <v>0</v>
      </c>
      <c r="G400" s="42">
        <v>0</v>
      </c>
      <c r="I400" s="46" cm="1">
        <f t="array" ref="I400">SUMPRODUCT(D400:G400,10^_xlfn.SEQUENCE(1,4,3,-1))</f>
        <v>0</v>
      </c>
      <c r="U400" s="49"/>
      <c r="V400" s="49"/>
      <c r="W400" s="49"/>
      <c r="X400" s="49"/>
      <c r="Y400" s="50"/>
      <c r="Z400" s="50"/>
      <c r="AA400" s="50"/>
      <c r="AB400" s="50"/>
    </row>
    <row r="401" spans="3:28" ht="24" customHeight="1" thickBot="1" x14ac:dyDescent="0.35">
      <c r="C401" t="s">
        <v>29</v>
      </c>
      <c r="D401" s="40"/>
      <c r="E401" s="41"/>
      <c r="F401" s="41"/>
      <c r="G401" s="42"/>
      <c r="I401" s="46" cm="1">
        <f t="array" ref="I401">SUMPRODUCT(D401:G401,10^_xlfn.SEQUENCE(1,4,3,-1))</f>
        <v>0</v>
      </c>
      <c r="K401" s="46" cm="1">
        <f t="array" ref="K401:K404">I393:I396+I397:I400</f>
        <v>12</v>
      </c>
      <c r="N401" t="s">
        <v>32</v>
      </c>
      <c r="O401" s="1" t="s">
        <v>144</v>
      </c>
      <c r="P401" t="s">
        <v>131</v>
      </c>
      <c r="S401" t="s">
        <v>135</v>
      </c>
      <c r="U401" s="48"/>
      <c r="V401" s="48"/>
      <c r="W401" s="48"/>
      <c r="X401" s="48"/>
      <c r="Y401" s="48"/>
      <c r="Z401" s="48"/>
      <c r="AA401" s="48"/>
      <c r="AB401" s="48"/>
    </row>
    <row r="402" spans="3:28" ht="24" customHeight="1" thickBot="1" x14ac:dyDescent="0.35">
      <c r="D402" s="40"/>
      <c r="E402" s="41"/>
      <c r="F402" s="41"/>
      <c r="G402" s="42"/>
      <c r="I402" s="46" cm="1">
        <f t="array" ref="I402">SUMPRODUCT(D402:G402,10^_xlfn.SEQUENCE(1,4,3,-1))</f>
        <v>0</v>
      </c>
      <c r="K402" s="46">
        <v>5</v>
      </c>
      <c r="S402" t="s">
        <v>137</v>
      </c>
      <c r="U402" s="49"/>
      <c r="V402" s="49"/>
      <c r="W402" s="49"/>
      <c r="X402" s="49"/>
      <c r="Y402" s="49"/>
      <c r="Z402" s="49"/>
      <c r="AA402" s="49"/>
      <c r="AB402" s="49"/>
    </row>
    <row r="403" spans="3:28" ht="24" customHeight="1" thickBot="1" x14ac:dyDescent="0.35">
      <c r="D403" s="40"/>
      <c r="E403" s="41"/>
      <c r="F403" s="41"/>
      <c r="G403" s="42"/>
      <c r="I403" s="46" cm="1">
        <f t="array" ref="I403">SUMPRODUCT(D403:G403,10^_xlfn.SEQUENCE(1,4,3,-1))</f>
        <v>0</v>
      </c>
      <c r="K403" s="46">
        <v>433</v>
      </c>
      <c r="U403" s="49"/>
      <c r="V403" s="49"/>
      <c r="W403" s="49"/>
      <c r="X403" s="49"/>
      <c r="Y403" s="49"/>
      <c r="Z403" s="49"/>
      <c r="AA403" s="49"/>
      <c r="AB403" s="49"/>
    </row>
    <row r="404" spans="3:28" ht="24" customHeight="1" thickBot="1" x14ac:dyDescent="0.35">
      <c r="D404" s="40"/>
      <c r="E404" s="41"/>
      <c r="F404" s="41"/>
      <c r="G404" s="42"/>
      <c r="I404" s="46" cm="1">
        <f t="array" ref="I404">SUMPRODUCT(D404:G404,10^_xlfn.SEQUENCE(1,4,3,-1))</f>
        <v>0</v>
      </c>
      <c r="K404" s="46">
        <v>0</v>
      </c>
      <c r="U404" s="49"/>
      <c r="V404" s="49"/>
      <c r="W404" s="49"/>
      <c r="X404" s="49"/>
      <c r="Y404" s="49"/>
      <c r="Z404" s="49"/>
      <c r="AA404" s="49"/>
      <c r="AB404" s="49"/>
    </row>
    <row r="405" spans="3:28" ht="24" customHeight="1" x14ac:dyDescent="0.3">
      <c r="U405" s="49"/>
      <c r="V405" s="49"/>
      <c r="W405" s="49"/>
      <c r="X405" s="49"/>
      <c r="Y405" s="49"/>
      <c r="Z405" s="49"/>
      <c r="AA405" s="49"/>
      <c r="AB405" s="49"/>
    </row>
    <row r="406" spans="3:28" ht="24" customHeight="1" x14ac:dyDescent="0.3">
      <c r="C406" t="s">
        <v>142</v>
      </c>
      <c r="U406" s="49"/>
      <c r="V406" s="49"/>
      <c r="W406" s="49"/>
      <c r="X406" s="49"/>
      <c r="Y406" s="49"/>
      <c r="Z406" s="49"/>
      <c r="AA406" s="49"/>
      <c r="AB406" s="49"/>
    </row>
    <row r="407" spans="3:28" ht="24" customHeight="1" x14ac:dyDescent="0.3">
      <c r="U407" s="49"/>
      <c r="V407" s="49"/>
      <c r="W407" s="49"/>
      <c r="X407" s="49"/>
      <c r="Y407" s="49"/>
      <c r="Z407" s="49"/>
      <c r="AA407" s="49"/>
      <c r="AB407" s="49"/>
    </row>
    <row r="408" spans="3:28" ht="24" customHeight="1" thickBot="1" x14ac:dyDescent="0.35">
      <c r="U408" s="50"/>
      <c r="V408" s="50"/>
      <c r="W408" s="50"/>
      <c r="X408" s="50"/>
      <c r="Y408" s="50"/>
      <c r="Z408" s="50"/>
      <c r="AA408" s="50"/>
      <c r="AB408" s="50"/>
    </row>
    <row r="409" spans="3:28" ht="24" customHeight="1" x14ac:dyDescent="0.3">
      <c r="N409" t="s">
        <v>29</v>
      </c>
      <c r="O409" s="1" t="s">
        <v>145</v>
      </c>
      <c r="P409" t="s">
        <v>130</v>
      </c>
      <c r="S409" t="s">
        <v>138</v>
      </c>
      <c r="U409" s="48"/>
      <c r="V409" s="48"/>
      <c r="W409" s="48"/>
      <c r="X409" s="48"/>
      <c r="Y409" s="48"/>
      <c r="Z409" s="48"/>
      <c r="AA409" s="48"/>
      <c r="AB409" s="48"/>
    </row>
    <row r="410" spans="3:28" ht="24" customHeight="1" x14ac:dyDescent="0.3">
      <c r="S410" t="s">
        <v>137</v>
      </c>
      <c r="U410" s="49"/>
      <c r="V410" s="49"/>
      <c r="W410" s="49"/>
      <c r="X410" s="49"/>
      <c r="Y410" s="49"/>
      <c r="Z410" s="49"/>
      <c r="AA410" s="49"/>
      <c r="AB410" s="49"/>
    </row>
    <row r="411" spans="3:28" ht="24" customHeight="1" x14ac:dyDescent="0.3">
      <c r="U411" s="49"/>
      <c r="V411" s="49"/>
      <c r="W411" s="49"/>
      <c r="X411" s="49"/>
      <c r="Y411" s="49"/>
      <c r="Z411" s="49"/>
      <c r="AA411" s="49"/>
      <c r="AB411" s="49"/>
    </row>
    <row r="412" spans="3:28" ht="24" customHeight="1" x14ac:dyDescent="0.3">
      <c r="U412" s="49"/>
      <c r="V412" s="49"/>
      <c r="W412" s="49"/>
      <c r="X412" s="49"/>
      <c r="Y412" s="49"/>
      <c r="Z412" s="49"/>
      <c r="AA412" s="49"/>
      <c r="AB412" s="49"/>
    </row>
    <row r="413" spans="3:28" ht="24" customHeight="1" x14ac:dyDescent="0.3">
      <c r="U413" s="49"/>
      <c r="V413" s="49"/>
      <c r="W413" s="49"/>
      <c r="X413" s="49"/>
      <c r="Y413" s="49"/>
      <c r="Z413" s="49"/>
      <c r="AA413" s="49"/>
      <c r="AB413" s="49"/>
    </row>
    <row r="414" spans="3:28" ht="24" customHeight="1" x14ac:dyDescent="0.3">
      <c r="U414" s="49"/>
      <c r="V414" s="49"/>
      <c r="W414" s="49"/>
      <c r="X414" s="49"/>
      <c r="Y414" s="49"/>
      <c r="Z414" s="49"/>
      <c r="AA414" s="49"/>
      <c r="AB414" s="49"/>
    </row>
    <row r="415" spans="3:28" ht="24" customHeight="1" x14ac:dyDescent="0.3">
      <c r="U415" s="49"/>
      <c r="V415" s="49"/>
      <c r="W415" s="49"/>
      <c r="X415" s="49"/>
      <c r="Y415" s="49"/>
      <c r="Z415" s="49"/>
      <c r="AA415" s="49"/>
      <c r="AB415" s="49"/>
    </row>
    <row r="416" spans="3:28" ht="24" customHeight="1" thickBot="1" x14ac:dyDescent="0.35">
      <c r="U416" s="50"/>
      <c r="V416" s="50"/>
      <c r="W416" s="50"/>
      <c r="X416" s="50"/>
      <c r="Y416" s="50"/>
      <c r="Z416" s="50"/>
      <c r="AA416" s="50"/>
      <c r="AB416" s="50"/>
    </row>
    <row r="417" spans="1:35" ht="24" customHeight="1" x14ac:dyDescent="0.3">
      <c r="U417" s="17"/>
      <c r="V417" s="17"/>
      <c r="W417" s="17"/>
      <c r="X417" s="17"/>
      <c r="Y417" s="17"/>
      <c r="Z417" s="17"/>
      <c r="AA417" s="17"/>
      <c r="AB417" s="17"/>
    </row>
    <row r="418" spans="1:35" s="37" customFormat="1" ht="70" customHeight="1" x14ac:dyDescent="0.2">
      <c r="A418" s="36" t="s">
        <v>154</v>
      </c>
    </row>
    <row r="419" spans="1:35" ht="24" customHeight="1" x14ac:dyDescent="0.3">
      <c r="U419" s="17"/>
      <c r="V419" s="17"/>
      <c r="W419" s="17"/>
      <c r="X419" s="17"/>
      <c r="Y419" s="17"/>
      <c r="Z419" s="17"/>
      <c r="AA419" s="17"/>
      <c r="AB419" s="17"/>
    </row>
    <row r="420" spans="1:35" s="39" customFormat="1" ht="34" x14ac:dyDescent="0.4">
      <c r="A420" s="38" t="s">
        <v>147</v>
      </c>
    </row>
    <row r="424" spans="1:35" ht="24" customHeight="1" x14ac:dyDescent="0.3">
      <c r="F424" s="17" t="s">
        <v>129</v>
      </c>
      <c r="G424" s="17">
        <v>4</v>
      </c>
      <c r="H424" s="17">
        <v>3</v>
      </c>
      <c r="I424" s="17">
        <v>2</v>
      </c>
      <c r="J424" s="17">
        <v>1</v>
      </c>
      <c r="K424" s="17">
        <v>0</v>
      </c>
      <c r="V424" s="17" t="s">
        <v>129</v>
      </c>
      <c r="W424" s="17">
        <v>4</v>
      </c>
      <c r="X424" s="17">
        <v>3</v>
      </c>
      <c r="Y424" s="17">
        <v>2</v>
      </c>
      <c r="Z424" s="17">
        <v>1</v>
      </c>
      <c r="AA424" s="17">
        <v>0</v>
      </c>
    </row>
    <row r="425" spans="1:35" ht="24" customHeight="1" thickBot="1" x14ac:dyDescent="0.25">
      <c r="D425" s="44" t="s">
        <v>126</v>
      </c>
      <c r="G425" s="13"/>
      <c r="H425" s="13"/>
      <c r="I425" s="13"/>
      <c r="J425" s="13"/>
      <c r="K425" s="13"/>
      <c r="T425" s="44" t="s">
        <v>126</v>
      </c>
      <c r="AI425" t="s">
        <v>151</v>
      </c>
    </row>
    <row r="426" spans="1:35" ht="24" customHeight="1" thickBot="1" x14ac:dyDescent="0.35">
      <c r="G426" s="40">
        <v>0</v>
      </c>
      <c r="H426" s="41">
        <v>0</v>
      </c>
      <c r="I426" s="41">
        <v>1</v>
      </c>
      <c r="J426" s="41">
        <v>2</v>
      </c>
      <c r="K426" s="41">
        <v>4</v>
      </c>
      <c r="L426" s="41">
        <v>1</v>
      </c>
      <c r="M426" s="41">
        <v>2</v>
      </c>
      <c r="N426" s="42">
        <v>3</v>
      </c>
      <c r="P426" s="46" cm="1">
        <f t="array" ref="P426">SUMPRODUCT(G426:N426,10^_xlfn.SEQUENCE(1,8,7,-1))</f>
        <v>124123</v>
      </c>
      <c r="W426" s="40">
        <v>0</v>
      </c>
      <c r="X426" s="41">
        <v>0</v>
      </c>
      <c r="Y426" s="41">
        <v>0</v>
      </c>
      <c r="Z426" s="41">
        <v>0</v>
      </c>
      <c r="AA426" s="41">
        <v>1</v>
      </c>
      <c r="AB426" s="41">
        <v>1</v>
      </c>
      <c r="AC426" s="41">
        <v>2</v>
      </c>
      <c r="AD426" s="42">
        <v>3</v>
      </c>
      <c r="AF426" s="46" cm="1">
        <f t="array" ref="AF426">SUMPRODUCT(W426:AD426,10^_xlfn.SEQUENCE(1,8,7,-1))</f>
        <v>1123</v>
      </c>
      <c r="AI426" s="46" cm="1">
        <f t="array" ref="AI426:AI429">P426:P429+AF426:AF429</f>
        <v>125246</v>
      </c>
    </row>
    <row r="427" spans="1:35" ht="24" customHeight="1" thickBot="1" x14ac:dyDescent="0.35">
      <c r="G427" s="40">
        <v>0</v>
      </c>
      <c r="H427" s="41">
        <v>0</v>
      </c>
      <c r="I427" s="41">
        <v>0</v>
      </c>
      <c r="J427" s="41">
        <v>5</v>
      </c>
      <c r="K427" s="41">
        <v>0</v>
      </c>
      <c r="L427" s="41">
        <v>2</v>
      </c>
      <c r="M427" s="41">
        <v>1</v>
      </c>
      <c r="N427" s="42">
        <v>5</v>
      </c>
      <c r="P427" s="46" cm="1">
        <f t="array" ref="P427">SUMPRODUCT(G427:N427,10^_xlfn.SEQUENCE(1,8,7,-1))</f>
        <v>50215</v>
      </c>
      <c r="W427" s="40">
        <v>0</v>
      </c>
      <c r="X427" s="41">
        <v>0</v>
      </c>
      <c r="Y427" s="41">
        <v>0</v>
      </c>
      <c r="Z427" s="41">
        <v>0</v>
      </c>
      <c r="AA427" s="41">
        <v>0</v>
      </c>
      <c r="AB427" s="41">
        <v>2</v>
      </c>
      <c r="AC427" s="41">
        <v>1</v>
      </c>
      <c r="AD427" s="42">
        <v>5</v>
      </c>
      <c r="AF427" s="46" cm="1">
        <f t="array" ref="AF427">SUMPRODUCT(W427:AD427,10^_xlfn.SEQUENCE(1,8,7,-1))</f>
        <v>215</v>
      </c>
      <c r="AI427" s="46">
        <v>50430</v>
      </c>
    </row>
    <row r="428" spans="1:35" ht="24" customHeight="1" thickBot="1" x14ac:dyDescent="0.35">
      <c r="G428" s="40">
        <v>0</v>
      </c>
      <c r="H428" s="41">
        <v>4</v>
      </c>
      <c r="I428" s="41">
        <v>3</v>
      </c>
      <c r="J428" s="41">
        <v>2</v>
      </c>
      <c r="K428" s="41">
        <v>0</v>
      </c>
      <c r="L428" s="41">
        <v>1</v>
      </c>
      <c r="M428" s="41">
        <v>3</v>
      </c>
      <c r="N428" s="42">
        <v>1</v>
      </c>
      <c r="P428" s="46" cm="1">
        <f t="array" ref="P428">SUMPRODUCT(G428:N428,10^_xlfn.SEQUENCE(1,8,7,-1))</f>
        <v>4320131</v>
      </c>
      <c r="W428" s="40">
        <v>0</v>
      </c>
      <c r="X428" s="41">
        <v>0</v>
      </c>
      <c r="Y428" s="41">
        <v>0</v>
      </c>
      <c r="Z428" s="41">
        <v>1</v>
      </c>
      <c r="AA428" s="41">
        <v>0</v>
      </c>
      <c r="AB428" s="41">
        <v>1</v>
      </c>
      <c r="AC428" s="41">
        <v>3</v>
      </c>
      <c r="AD428" s="42">
        <v>1</v>
      </c>
      <c r="AF428" s="46" cm="1">
        <f t="array" ref="AF428">SUMPRODUCT(W428:AD428,10^_xlfn.SEQUENCE(1,8,7,-1))</f>
        <v>10131</v>
      </c>
      <c r="AI428" s="46">
        <v>4330262</v>
      </c>
    </row>
    <row r="429" spans="1:35" ht="24" customHeight="1" thickBot="1" x14ac:dyDescent="0.35">
      <c r="G429" s="40">
        <v>0</v>
      </c>
      <c r="H429" s="41">
        <v>0</v>
      </c>
      <c r="I429" s="41">
        <v>0</v>
      </c>
      <c r="J429" s="41">
        <v>0</v>
      </c>
      <c r="K429" s="41">
        <v>7</v>
      </c>
      <c r="L429" s="41">
        <v>2</v>
      </c>
      <c r="M429" s="41">
        <v>4</v>
      </c>
      <c r="N429" s="42">
        <v>3</v>
      </c>
      <c r="P429" s="46" cm="1">
        <f t="array" ref="P429">SUMPRODUCT(G429:N429,10^_xlfn.SEQUENCE(1,8,7,-1))</f>
        <v>7243</v>
      </c>
      <c r="W429" s="40">
        <v>0</v>
      </c>
      <c r="X429" s="41">
        <v>0</v>
      </c>
      <c r="Y429" s="41">
        <v>0</v>
      </c>
      <c r="Z429" s="41">
        <v>0</v>
      </c>
      <c r="AA429" s="41">
        <v>6</v>
      </c>
      <c r="AB429" s="41">
        <v>2</v>
      </c>
      <c r="AC429" s="41">
        <v>4</v>
      </c>
      <c r="AD429" s="42">
        <v>3</v>
      </c>
      <c r="AF429" s="46" cm="1">
        <f t="array" ref="AF429">SUMPRODUCT(W429:AD429,10^_xlfn.SEQUENCE(1,8,7,-1))</f>
        <v>6243</v>
      </c>
      <c r="AI429" s="46">
        <v>13486</v>
      </c>
    </row>
    <row r="431" spans="1:35" ht="24" customHeight="1" thickBot="1" x14ac:dyDescent="0.25">
      <c r="D431" s="44" t="s">
        <v>128</v>
      </c>
      <c r="T431" s="44" t="s">
        <v>128</v>
      </c>
    </row>
    <row r="432" spans="1:35" ht="24" customHeight="1" thickBot="1" x14ac:dyDescent="0.35">
      <c r="E432" s="17" t="s">
        <v>129</v>
      </c>
      <c r="F432" s="43"/>
      <c r="U432" s="17" t="s">
        <v>129</v>
      </c>
      <c r="V432" s="43"/>
    </row>
    <row r="433" spans="1:32" ht="24" customHeight="1" thickBot="1" x14ac:dyDescent="0.35">
      <c r="G433" s="40"/>
      <c r="H433" s="41"/>
      <c r="I433" s="41"/>
      <c r="J433" s="42"/>
      <c r="W433" s="40"/>
      <c r="X433" s="41"/>
      <c r="Y433" s="41"/>
      <c r="Z433" s="42"/>
    </row>
    <row r="434" spans="1:32" ht="24" customHeight="1" thickBot="1" x14ac:dyDescent="0.35">
      <c r="G434" s="40"/>
      <c r="H434" s="41"/>
      <c r="I434" s="41"/>
      <c r="J434" s="42"/>
      <c r="W434" s="40"/>
      <c r="X434" s="41"/>
      <c r="Y434" s="41"/>
      <c r="Z434" s="42"/>
    </row>
    <row r="435" spans="1:32" ht="24" customHeight="1" thickBot="1" x14ac:dyDescent="0.35">
      <c r="G435" s="40"/>
      <c r="H435" s="41"/>
      <c r="I435" s="41"/>
      <c r="J435" s="42"/>
      <c r="W435" s="40"/>
      <c r="X435" s="41"/>
      <c r="Y435" s="41"/>
      <c r="Z435" s="42"/>
    </row>
    <row r="436" spans="1:32" ht="24" customHeight="1" thickBot="1" x14ac:dyDescent="0.35">
      <c r="G436" s="40"/>
      <c r="H436" s="41"/>
      <c r="I436" s="41"/>
      <c r="J436" s="42"/>
      <c r="W436" s="40"/>
      <c r="X436" s="41"/>
      <c r="Y436" s="41"/>
      <c r="Z436" s="42"/>
    </row>
    <row r="438" spans="1:32" ht="24" customHeight="1" x14ac:dyDescent="0.3">
      <c r="G438" s="17"/>
      <c r="H438" s="17"/>
      <c r="I438" s="17"/>
      <c r="J438" s="17"/>
    </row>
    <row r="439" spans="1:32" ht="24" customHeight="1" x14ac:dyDescent="0.3">
      <c r="B439" s="45" t="s">
        <v>131</v>
      </c>
      <c r="F439" s="17" t="s">
        <v>129</v>
      </c>
      <c r="G439" s="17">
        <v>4</v>
      </c>
      <c r="H439" s="17">
        <v>3</v>
      </c>
      <c r="I439" s="17">
        <v>2</v>
      </c>
      <c r="J439" s="17">
        <v>1</v>
      </c>
      <c r="K439" s="17">
        <v>0</v>
      </c>
      <c r="S439" s="45" t="s">
        <v>131</v>
      </c>
      <c r="V439" s="17" t="s">
        <v>129</v>
      </c>
      <c r="W439" s="17">
        <v>4</v>
      </c>
      <c r="X439" s="17">
        <v>3</v>
      </c>
      <c r="Y439" s="17">
        <v>2</v>
      </c>
      <c r="Z439" s="17">
        <v>1</v>
      </c>
      <c r="AA439" s="17">
        <v>0</v>
      </c>
    </row>
    <row r="440" spans="1:32" ht="24" customHeight="1" thickBot="1" x14ac:dyDescent="0.25">
      <c r="D440" s="44" t="s">
        <v>126</v>
      </c>
      <c r="G440" s="13"/>
      <c r="H440" s="13"/>
      <c r="I440" s="13"/>
      <c r="J440" s="13"/>
      <c r="T440" s="44" t="s">
        <v>126</v>
      </c>
      <c r="Z440" s="13"/>
      <c r="AA440" s="13"/>
      <c r="AB440" s="13"/>
      <c r="AC440" s="13"/>
    </row>
    <row r="441" spans="1:32" ht="24" customHeight="1" thickBot="1" x14ac:dyDescent="0.35">
      <c r="G441" s="40"/>
      <c r="H441" s="41"/>
      <c r="I441" s="41"/>
      <c r="J441" s="41"/>
      <c r="K441" s="41"/>
      <c r="L441" s="41"/>
      <c r="M441" s="41"/>
      <c r="N441" s="42"/>
      <c r="P441" s="46" cm="1">
        <f t="array" ref="P441">SUMPRODUCT(G441:N441,10^_xlfn.SEQUENCE(1,8,7,-1))</f>
        <v>0</v>
      </c>
      <c r="W441" s="40"/>
      <c r="X441" s="41"/>
      <c r="Y441" s="41"/>
      <c r="Z441" s="41"/>
      <c r="AA441" s="41"/>
      <c r="AB441" s="41"/>
      <c r="AC441" s="41"/>
      <c r="AD441" s="42"/>
      <c r="AF441" s="46" cm="1">
        <f t="array" ref="AF441">SUMPRODUCT(W441:AD441,10^_xlfn.SEQUENCE(1,8,7,-1))</f>
        <v>0</v>
      </c>
    </row>
    <row r="442" spans="1:32" ht="24" customHeight="1" thickBot="1" x14ac:dyDescent="0.35">
      <c r="G442" s="40"/>
      <c r="H442" s="41"/>
      <c r="I442" s="41"/>
      <c r="J442" s="41"/>
      <c r="K442" s="41"/>
      <c r="L442" s="41"/>
      <c r="M442" s="41"/>
      <c r="N442" s="42"/>
      <c r="P442" s="46" cm="1">
        <f t="array" ref="P442">SUMPRODUCT(G442:N442,10^_xlfn.SEQUENCE(1,8,7,-1))</f>
        <v>0</v>
      </c>
      <c r="W442" s="40"/>
      <c r="X442" s="41"/>
      <c r="Y442" s="41"/>
      <c r="Z442" s="41"/>
      <c r="AA442" s="41"/>
      <c r="AB442" s="41"/>
      <c r="AC442" s="41"/>
      <c r="AD442" s="42"/>
      <c r="AF442" s="46" cm="1">
        <f t="array" ref="AF442">SUMPRODUCT(W442:AD442,10^_xlfn.SEQUENCE(1,8,7,-1))</f>
        <v>0</v>
      </c>
    </row>
    <row r="443" spans="1:32" ht="24" customHeight="1" thickBot="1" x14ac:dyDescent="0.35">
      <c r="G443" s="40"/>
      <c r="H443" s="41"/>
      <c r="I443" s="41"/>
      <c r="J443" s="41"/>
      <c r="K443" s="41"/>
      <c r="L443" s="41"/>
      <c r="M443" s="41"/>
      <c r="N443" s="42"/>
      <c r="P443" s="46" cm="1">
        <f t="array" ref="P443">SUMPRODUCT(G443:N443,10^_xlfn.SEQUENCE(1,8,7,-1))</f>
        <v>0</v>
      </c>
      <c r="W443" s="40"/>
      <c r="X443" s="41"/>
      <c r="Y443" s="41"/>
      <c r="Z443" s="41"/>
      <c r="AA443" s="41"/>
      <c r="AB443" s="41"/>
      <c r="AC443" s="41"/>
      <c r="AD443" s="42"/>
      <c r="AF443" s="46" cm="1">
        <f t="array" ref="AF443">SUMPRODUCT(W443:AD443,10^_xlfn.SEQUENCE(1,8,7,-1))</f>
        <v>0</v>
      </c>
    </row>
    <row r="444" spans="1:32" ht="24" customHeight="1" thickBot="1" x14ac:dyDescent="0.35">
      <c r="G444" s="40"/>
      <c r="H444" s="41"/>
      <c r="I444" s="41"/>
      <c r="J444" s="41"/>
      <c r="K444" s="41"/>
      <c r="L444" s="41"/>
      <c r="M444" s="41"/>
      <c r="N444" s="42"/>
      <c r="P444" s="46" cm="1">
        <f t="array" ref="P444">SUMPRODUCT(G444:N444,10^_xlfn.SEQUENCE(1,8,7,-1))</f>
        <v>0</v>
      </c>
      <c r="W444" s="40"/>
      <c r="X444" s="41"/>
      <c r="Y444" s="41"/>
      <c r="Z444" s="41"/>
      <c r="AA444" s="41"/>
      <c r="AB444" s="41"/>
      <c r="AC444" s="41"/>
      <c r="AD444" s="42"/>
      <c r="AF444" s="46" cm="1">
        <f t="array" ref="AF444">SUMPRODUCT(W444:AD444,10^_xlfn.SEQUENCE(1,8,7,-1))</f>
        <v>0</v>
      </c>
    </row>
    <row r="448" spans="1:32" s="39" customFormat="1" ht="34" x14ac:dyDescent="0.4">
      <c r="A448" s="38" t="s">
        <v>152</v>
      </c>
    </row>
    <row r="450" spans="2:30" ht="24" customHeight="1" x14ac:dyDescent="0.2">
      <c r="D450" s="2" t="s">
        <v>139</v>
      </c>
      <c r="U450" s="2" t="s">
        <v>148</v>
      </c>
    </row>
    <row r="451" spans="2:30" ht="24" customHeight="1" x14ac:dyDescent="0.25">
      <c r="D451" s="14" t="s">
        <v>140</v>
      </c>
    </row>
    <row r="453" spans="2:30" ht="24" customHeight="1" x14ac:dyDescent="0.2">
      <c r="D453" s="2" t="s">
        <v>25</v>
      </c>
      <c r="T453" s="51" t="s">
        <v>136</v>
      </c>
      <c r="W453" s="13">
        <v>0</v>
      </c>
      <c r="X453" s="13">
        <v>1</v>
      </c>
      <c r="Y453" s="13">
        <v>2</v>
      </c>
      <c r="Z453" s="13">
        <v>3</v>
      </c>
      <c r="AA453" s="13">
        <v>4</v>
      </c>
      <c r="AB453" s="13">
        <v>5</v>
      </c>
      <c r="AC453" s="13">
        <v>6</v>
      </c>
      <c r="AD453" s="13">
        <v>7</v>
      </c>
    </row>
    <row r="454" spans="2:30" ht="24" customHeight="1" thickBot="1" x14ac:dyDescent="0.25">
      <c r="M454" t="s">
        <v>31</v>
      </c>
      <c r="N454" s="1" t="s">
        <v>144</v>
      </c>
      <c r="O454" t="s">
        <v>131</v>
      </c>
    </row>
    <row r="455" spans="2:30" ht="24" customHeight="1" thickBot="1" x14ac:dyDescent="0.35">
      <c r="B455" t="s">
        <v>31</v>
      </c>
      <c r="C455" s="43">
        <v>3</v>
      </c>
      <c r="D455" s="40" cm="1">
        <f t="array" ref="D455:G458">G433:J436</f>
        <v>0</v>
      </c>
      <c r="E455" s="41">
        <v>0</v>
      </c>
      <c r="F455" s="41">
        <v>0</v>
      </c>
      <c r="G455" s="42">
        <v>0</v>
      </c>
      <c r="I455" s="46" cm="1">
        <f t="array" ref="I455">SUMPRODUCT(D455:G455,10^_xlfn.SEQUENCE(1,4,3,-1))</f>
        <v>0</v>
      </c>
      <c r="T455" t="s">
        <v>134</v>
      </c>
      <c r="V455">
        <v>4</v>
      </c>
      <c r="W455" s="48"/>
      <c r="X455" s="48"/>
      <c r="Y455" s="48"/>
      <c r="Z455" s="48"/>
      <c r="AA455" s="48"/>
      <c r="AB455" s="48"/>
      <c r="AC455" s="48"/>
      <c r="AD455" s="48"/>
    </row>
    <row r="456" spans="2:30" ht="24" customHeight="1" thickBot="1" x14ac:dyDescent="0.35">
      <c r="D456" s="40">
        <v>0</v>
      </c>
      <c r="E456" s="41">
        <v>0</v>
      </c>
      <c r="F456" s="41">
        <v>0</v>
      </c>
      <c r="G456" s="42">
        <v>0</v>
      </c>
      <c r="I456" s="46" cm="1">
        <f t="array" ref="I456">SUMPRODUCT(D456:G456,10^_xlfn.SEQUENCE(1,4,3,-1))</f>
        <v>0</v>
      </c>
      <c r="T456" t="s">
        <v>137</v>
      </c>
      <c r="V456">
        <v>3</v>
      </c>
      <c r="W456" s="49"/>
      <c r="X456" s="49"/>
      <c r="Y456" s="49"/>
      <c r="Z456" s="49"/>
      <c r="AA456" s="49"/>
      <c r="AB456" s="49"/>
      <c r="AC456" s="49"/>
      <c r="AD456" s="49"/>
    </row>
    <row r="457" spans="2:30" ht="24" customHeight="1" thickBot="1" x14ac:dyDescent="0.35">
      <c r="D457" s="40">
        <v>0</v>
      </c>
      <c r="E457" s="41">
        <v>0</v>
      </c>
      <c r="F457" s="41">
        <v>0</v>
      </c>
      <c r="G457" s="42">
        <v>0</v>
      </c>
      <c r="I457" s="46" cm="1">
        <f t="array" ref="I457">SUMPRODUCT(D457:G457,10^_xlfn.SEQUENCE(1,4,3,-1))</f>
        <v>0</v>
      </c>
      <c r="V457">
        <v>2</v>
      </c>
      <c r="W457" s="49"/>
      <c r="X457" s="49"/>
      <c r="Y457" s="49"/>
      <c r="Z457" s="49"/>
      <c r="AA457" s="49"/>
      <c r="AB457" s="49"/>
      <c r="AC457" s="49"/>
      <c r="AD457" s="49"/>
    </row>
    <row r="458" spans="2:30" ht="24" customHeight="1" thickBot="1" x14ac:dyDescent="0.35">
      <c r="D458" s="40">
        <v>0</v>
      </c>
      <c r="E458" s="41">
        <v>0</v>
      </c>
      <c r="F458" s="41">
        <v>0</v>
      </c>
      <c r="G458" s="42">
        <v>0</v>
      </c>
      <c r="I458" s="46" cm="1">
        <f t="array" ref="I458">SUMPRODUCT(D458:G458,10^_xlfn.SEQUENCE(1,4,3,-1))</f>
        <v>0</v>
      </c>
      <c r="V458">
        <v>1</v>
      </c>
      <c r="W458" s="49"/>
      <c r="X458" s="49"/>
      <c r="Y458" s="49"/>
      <c r="Z458" s="49"/>
      <c r="AA458" s="49"/>
      <c r="AB458" s="49"/>
      <c r="AC458" s="49"/>
      <c r="AD458" s="49"/>
    </row>
    <row r="459" spans="2:30" ht="24" customHeight="1" thickBot="1" x14ac:dyDescent="0.35">
      <c r="B459" t="s">
        <v>32</v>
      </c>
      <c r="C459" s="43">
        <v>1</v>
      </c>
      <c r="D459" s="40" cm="1">
        <f t="array" ref="D459:G462">W433:Z436</f>
        <v>0</v>
      </c>
      <c r="E459" s="41">
        <v>0</v>
      </c>
      <c r="F459" s="41">
        <v>0</v>
      </c>
      <c r="G459" s="42">
        <v>0</v>
      </c>
      <c r="I459" s="46" cm="1">
        <f t="array" ref="I459">SUMPRODUCT(D459:G459,10^_xlfn.SEQUENCE(1,4,3,-1))</f>
        <v>0</v>
      </c>
      <c r="V459">
        <v>0</v>
      </c>
      <c r="W459" s="49"/>
      <c r="X459" s="49"/>
      <c r="Y459" s="49"/>
      <c r="Z459" s="49"/>
      <c r="AA459" s="49"/>
      <c r="AB459" s="49"/>
      <c r="AC459" s="49"/>
      <c r="AD459" s="49"/>
    </row>
    <row r="460" spans="2:30" ht="24" customHeight="1" thickBot="1" x14ac:dyDescent="0.35">
      <c r="D460" s="40">
        <v>0</v>
      </c>
      <c r="E460" s="41">
        <v>0</v>
      </c>
      <c r="F460" s="41">
        <v>0</v>
      </c>
      <c r="G460" s="42">
        <v>0</v>
      </c>
      <c r="I460" s="46" cm="1">
        <f t="array" ref="I460">SUMPRODUCT(D460:G460,10^_xlfn.SEQUENCE(1,4,3,-1))</f>
        <v>0</v>
      </c>
      <c r="W460" s="49"/>
      <c r="X460" s="49"/>
      <c r="Y460" s="49"/>
      <c r="Z460" s="49"/>
      <c r="AA460" s="49"/>
      <c r="AB460" s="49"/>
      <c r="AC460" s="49"/>
      <c r="AD460" s="49"/>
    </row>
    <row r="461" spans="2:30" ht="24" customHeight="1" thickBot="1" x14ac:dyDescent="0.35">
      <c r="D461" s="40">
        <v>0</v>
      </c>
      <c r="E461" s="41">
        <v>0</v>
      </c>
      <c r="F461" s="41">
        <v>0</v>
      </c>
      <c r="G461" s="42">
        <v>0</v>
      </c>
      <c r="I461" s="46" cm="1">
        <f t="array" ref="I461">SUMPRODUCT(D461:G461,10^_xlfn.SEQUENCE(1,4,3,-1))</f>
        <v>0</v>
      </c>
      <c r="W461" s="49"/>
      <c r="X461" s="49"/>
      <c r="Y461" s="49"/>
      <c r="Z461" s="49"/>
      <c r="AA461" s="49"/>
      <c r="AB461" s="49"/>
      <c r="AC461" s="49"/>
      <c r="AD461" s="49"/>
    </row>
    <row r="462" spans="2:30" ht="24" customHeight="1" thickBot="1" x14ac:dyDescent="0.35">
      <c r="D462" s="40">
        <v>0</v>
      </c>
      <c r="E462" s="41">
        <v>0</v>
      </c>
      <c r="F462" s="41">
        <v>0</v>
      </c>
      <c r="G462" s="42">
        <v>0</v>
      </c>
      <c r="I462" s="46" cm="1">
        <f t="array" ref="I462">SUMPRODUCT(D462:G462,10^_xlfn.SEQUENCE(1,4,3,-1))</f>
        <v>0</v>
      </c>
      <c r="W462" s="50"/>
      <c r="X462" s="50"/>
      <c r="Y462" s="50"/>
      <c r="Z462" s="50"/>
      <c r="AA462" s="50"/>
      <c r="AB462" s="50"/>
      <c r="AC462" s="50"/>
      <c r="AD462" s="50"/>
    </row>
    <row r="463" spans="2:30" ht="24" customHeight="1" thickBot="1" x14ac:dyDescent="0.35">
      <c r="B463" t="s">
        <v>29</v>
      </c>
      <c r="C463" s="43">
        <v>3</v>
      </c>
      <c r="D463" s="40"/>
      <c r="E463" s="41"/>
      <c r="F463" s="41"/>
      <c r="G463" s="42"/>
      <c r="I463" s="46" cm="1">
        <f t="array" ref="I463">SUMPRODUCT(D463:G463,10^_xlfn.SEQUENCE(1,4,3,-1))</f>
        <v>0</v>
      </c>
      <c r="K463" s="46" cm="1">
        <f t="array" ref="K463:K466">_xlfn.ANCHORARRAY(AI426)</f>
        <v>125246</v>
      </c>
      <c r="M463" t="s">
        <v>32</v>
      </c>
      <c r="N463" s="1" t="s">
        <v>144</v>
      </c>
      <c r="O463" t="s">
        <v>131</v>
      </c>
      <c r="T463" t="s">
        <v>135</v>
      </c>
      <c r="V463">
        <v>4</v>
      </c>
      <c r="W463" s="48"/>
      <c r="X463" s="48"/>
      <c r="Y463" s="48"/>
      <c r="Z463" s="48"/>
      <c r="AA463" s="48"/>
      <c r="AB463" s="48"/>
      <c r="AC463" s="48"/>
      <c r="AD463" s="48"/>
    </row>
    <row r="464" spans="2:30" ht="24" customHeight="1" thickBot="1" x14ac:dyDescent="0.35">
      <c r="D464" s="40"/>
      <c r="E464" s="41"/>
      <c r="F464" s="41"/>
      <c r="G464" s="42"/>
      <c r="I464" s="46" cm="1">
        <f t="array" ref="I464">SUMPRODUCT(D464:G464,10^_xlfn.SEQUENCE(1,4,3,-1))</f>
        <v>0</v>
      </c>
      <c r="K464" s="46">
        <v>50430</v>
      </c>
      <c r="T464" t="s">
        <v>137</v>
      </c>
      <c r="V464">
        <v>3</v>
      </c>
      <c r="W464" s="49"/>
      <c r="X464" s="49"/>
      <c r="Y464" s="49"/>
      <c r="Z464" s="49"/>
      <c r="AA464" s="49"/>
      <c r="AB464" s="49"/>
      <c r="AC464" s="49"/>
      <c r="AD464" s="49"/>
    </row>
    <row r="465" spans="1:30" ht="24" customHeight="1" thickBot="1" x14ac:dyDescent="0.35">
      <c r="D465" s="40"/>
      <c r="E465" s="41"/>
      <c r="F465" s="41"/>
      <c r="G465" s="42"/>
      <c r="I465" s="46" cm="1">
        <f t="array" ref="I465">SUMPRODUCT(D465:G465,10^_xlfn.SEQUENCE(1,4,3,-1))</f>
        <v>0</v>
      </c>
      <c r="K465" s="46">
        <v>4330262</v>
      </c>
      <c r="V465">
        <v>2</v>
      </c>
      <c r="W465" s="49"/>
      <c r="X465" s="49"/>
      <c r="Y465" s="49"/>
      <c r="Z465" s="49"/>
      <c r="AA465" s="49"/>
      <c r="AB465" s="49"/>
      <c r="AC465" s="49"/>
      <c r="AD465" s="49"/>
    </row>
    <row r="466" spans="1:30" ht="24" customHeight="1" thickBot="1" x14ac:dyDescent="0.35">
      <c r="D466" s="40"/>
      <c r="E466" s="41"/>
      <c r="F466" s="41"/>
      <c r="G466" s="42"/>
      <c r="I466" s="46" cm="1">
        <f t="array" ref="I466">SUMPRODUCT(D466:G466,10^_xlfn.SEQUENCE(1,4,3,-1))</f>
        <v>0</v>
      </c>
      <c r="K466" s="46">
        <v>13486</v>
      </c>
      <c r="V466">
        <v>1</v>
      </c>
      <c r="W466" s="49"/>
      <c r="X466" s="49"/>
      <c r="Y466" s="49"/>
      <c r="Z466" s="49"/>
      <c r="AA466" s="49"/>
      <c r="AB466" s="49"/>
      <c r="AC466" s="49"/>
      <c r="AD466" s="49"/>
    </row>
    <row r="467" spans="1:30" ht="24" customHeight="1" x14ac:dyDescent="0.3">
      <c r="V467">
        <v>0</v>
      </c>
      <c r="W467" s="49"/>
      <c r="X467" s="49"/>
      <c r="Y467" s="49"/>
      <c r="Z467" s="49"/>
      <c r="AA467" s="49"/>
      <c r="AB467" s="49"/>
      <c r="AC467" s="49"/>
      <c r="AD467" s="49"/>
    </row>
    <row r="468" spans="1:30" ht="24" customHeight="1" x14ac:dyDescent="0.3">
      <c r="W468" s="49"/>
      <c r="X468" s="49"/>
      <c r="Y468" s="49"/>
      <c r="Z468" s="49"/>
      <c r="AA468" s="49"/>
      <c r="AB468" s="49"/>
      <c r="AC468" s="49"/>
      <c r="AD468" s="49"/>
    </row>
    <row r="469" spans="1:30" ht="24" customHeight="1" x14ac:dyDescent="0.3">
      <c r="W469" s="49"/>
      <c r="X469" s="49"/>
      <c r="Y469" s="49"/>
      <c r="Z469" s="49"/>
      <c r="AA469" s="49"/>
      <c r="AB469" s="49"/>
      <c r="AC469" s="49"/>
      <c r="AD469" s="49"/>
    </row>
    <row r="470" spans="1:30" ht="24" customHeight="1" thickBot="1" x14ac:dyDescent="0.35">
      <c r="W470" s="50"/>
      <c r="X470" s="50"/>
      <c r="Y470" s="50"/>
      <c r="Z470" s="50"/>
      <c r="AA470" s="50"/>
      <c r="AB470" s="50"/>
      <c r="AC470" s="50"/>
      <c r="AD470" s="50"/>
    </row>
    <row r="471" spans="1:30" ht="24" customHeight="1" x14ac:dyDescent="0.3">
      <c r="M471" t="s">
        <v>29</v>
      </c>
      <c r="N471" s="1" t="s">
        <v>145</v>
      </c>
      <c r="O471" t="s">
        <v>130</v>
      </c>
      <c r="T471" t="s">
        <v>138</v>
      </c>
      <c r="V471">
        <v>4</v>
      </c>
      <c r="W471" s="48"/>
      <c r="X471" s="48"/>
      <c r="Y471" s="48"/>
      <c r="Z471" s="48"/>
      <c r="AA471" s="48"/>
      <c r="AB471" s="48"/>
      <c r="AC471" s="48"/>
      <c r="AD471" s="48"/>
    </row>
    <row r="472" spans="1:30" ht="24" customHeight="1" x14ac:dyDescent="0.3">
      <c r="T472" t="s">
        <v>137</v>
      </c>
      <c r="V472">
        <v>3</v>
      </c>
      <c r="W472" s="49"/>
      <c r="X472" s="49"/>
      <c r="Y472" s="49"/>
      <c r="Z472" s="49"/>
      <c r="AA472" s="49"/>
      <c r="AB472" s="49"/>
      <c r="AC472" s="49"/>
      <c r="AD472" s="49"/>
    </row>
    <row r="473" spans="1:30" ht="24" customHeight="1" x14ac:dyDescent="0.3">
      <c r="V473">
        <v>2</v>
      </c>
      <c r="W473" s="49"/>
      <c r="X473" s="49"/>
      <c r="Y473" s="49"/>
      <c r="Z473" s="49"/>
      <c r="AA473" s="49"/>
      <c r="AB473" s="49"/>
      <c r="AC473" s="49"/>
      <c r="AD473" s="49"/>
    </row>
    <row r="474" spans="1:30" ht="24" customHeight="1" x14ac:dyDescent="0.3">
      <c r="V474">
        <v>1</v>
      </c>
      <c r="W474" s="49"/>
      <c r="X474" s="49"/>
      <c r="Y474" s="49"/>
      <c r="Z474" s="49"/>
      <c r="AA474" s="49"/>
      <c r="AB474" s="49"/>
      <c r="AC474" s="49"/>
      <c r="AD474" s="49"/>
    </row>
    <row r="475" spans="1:30" ht="24" customHeight="1" x14ac:dyDescent="0.3">
      <c r="V475">
        <v>0</v>
      </c>
      <c r="W475" s="49"/>
      <c r="X475" s="49"/>
      <c r="Y475" s="49"/>
      <c r="Z475" s="49"/>
      <c r="AA475" s="49"/>
      <c r="AB475" s="49"/>
      <c r="AC475" s="49"/>
      <c r="AD475" s="49"/>
    </row>
    <row r="476" spans="1:30" ht="24" customHeight="1" x14ac:dyDescent="0.3">
      <c r="W476" s="49"/>
      <c r="X476" s="49"/>
      <c r="Y476" s="49"/>
      <c r="Z476" s="49"/>
      <c r="AA476" s="49"/>
      <c r="AB476" s="49"/>
      <c r="AC476" s="49"/>
      <c r="AD476" s="49"/>
    </row>
    <row r="477" spans="1:30" ht="24" customHeight="1" x14ac:dyDescent="0.3">
      <c r="W477" s="49"/>
      <c r="X477" s="49"/>
      <c r="Y477" s="49"/>
      <c r="Z477" s="49"/>
      <c r="AA477" s="49"/>
      <c r="AB477" s="49"/>
      <c r="AC477" s="49"/>
      <c r="AD477" s="49"/>
    </row>
    <row r="478" spans="1:30" ht="24" customHeight="1" thickBot="1" x14ac:dyDescent="0.35">
      <c r="W478" s="50"/>
      <c r="X478" s="50"/>
      <c r="Y478" s="50"/>
      <c r="Z478" s="50"/>
      <c r="AA478" s="50"/>
      <c r="AB478" s="50"/>
      <c r="AC478" s="50"/>
      <c r="AD478" s="50"/>
    </row>
    <row r="480" spans="1:30" s="37" customFormat="1" ht="70" customHeight="1" x14ac:dyDescent="0.2">
      <c r="A480" s="36" t="s">
        <v>156</v>
      </c>
    </row>
    <row r="483" spans="1:35" s="39" customFormat="1" ht="34" x14ac:dyDescent="0.4">
      <c r="A483" s="38" t="s">
        <v>155</v>
      </c>
    </row>
    <row r="486" spans="1:35" ht="24" customHeight="1" x14ac:dyDescent="0.2">
      <c r="D486" s="2" t="s">
        <v>139</v>
      </c>
      <c r="U486" s="2" t="s">
        <v>148</v>
      </c>
    </row>
    <row r="487" spans="1:35" ht="24" customHeight="1" x14ac:dyDescent="0.25">
      <c r="D487" s="14" t="s">
        <v>140</v>
      </c>
    </row>
    <row r="489" spans="1:35" ht="24" customHeight="1" x14ac:dyDescent="0.2">
      <c r="D489" s="2" t="s">
        <v>25</v>
      </c>
      <c r="T489" s="51" t="s">
        <v>136</v>
      </c>
      <c r="W489" s="13">
        <v>0</v>
      </c>
      <c r="X489" s="13">
        <v>1</v>
      </c>
      <c r="Y489" s="13">
        <v>2</v>
      </c>
      <c r="Z489" s="13">
        <v>3</v>
      </c>
      <c r="AA489" s="13">
        <v>4</v>
      </c>
      <c r="AB489" s="13">
        <v>5</v>
      </c>
      <c r="AC489" s="13">
        <v>6</v>
      </c>
      <c r="AD489" s="13">
        <v>7</v>
      </c>
    </row>
    <row r="490" spans="1:35" ht="24" customHeight="1" thickBot="1" x14ac:dyDescent="0.25">
      <c r="M490" t="s">
        <v>31</v>
      </c>
      <c r="N490" s="1" t="s">
        <v>144</v>
      </c>
    </row>
    <row r="491" spans="1:35" ht="24" customHeight="1" thickBot="1" x14ac:dyDescent="0.35">
      <c r="B491" t="s">
        <v>31</v>
      </c>
      <c r="C491" s="43">
        <v>3</v>
      </c>
      <c r="D491" s="40" cm="1">
        <f t="array" ref="D491:G498">D455:G462</f>
        <v>0</v>
      </c>
      <c r="E491" s="41">
        <v>0</v>
      </c>
      <c r="F491" s="41">
        <v>0</v>
      </c>
      <c r="G491" s="42">
        <v>0</v>
      </c>
      <c r="I491" s="46" cm="1">
        <f t="array" ref="I491">SUMPRODUCT(D491:G491,10^_xlfn.SEQUENCE(1,4,3,-1))</f>
        <v>0</v>
      </c>
      <c r="T491" t="s">
        <v>134</v>
      </c>
      <c r="V491" s="43"/>
      <c r="W491" s="48"/>
      <c r="X491" s="48"/>
      <c r="Y491" s="48"/>
      <c r="Z491" s="48"/>
      <c r="AA491" s="48"/>
      <c r="AB491" s="48"/>
      <c r="AC491" s="48"/>
      <c r="AD491" s="48"/>
      <c r="AF491" s="3"/>
      <c r="AG491" s="3"/>
      <c r="AH491" s="3"/>
      <c r="AI491" s="3"/>
    </row>
    <row r="492" spans="1:35" ht="24" customHeight="1" thickBot="1" x14ac:dyDescent="0.35">
      <c r="D492" s="40">
        <v>0</v>
      </c>
      <c r="E492" s="41">
        <v>0</v>
      </c>
      <c r="F492" s="41">
        <v>0</v>
      </c>
      <c r="G492" s="42">
        <v>0</v>
      </c>
      <c r="I492" s="46" cm="1">
        <f t="array" ref="I492">SUMPRODUCT(D492:G492,10^_xlfn.SEQUENCE(1,4,3,-1))</f>
        <v>0</v>
      </c>
      <c r="T492" t="s">
        <v>137</v>
      </c>
      <c r="W492" s="49"/>
      <c r="X492" s="49"/>
      <c r="Y492" s="49"/>
      <c r="Z492" s="49"/>
      <c r="AA492" s="49"/>
      <c r="AB492" s="49"/>
      <c r="AC492" s="49"/>
      <c r="AD492" s="49"/>
      <c r="AF492" s="4"/>
      <c r="AG492" s="4"/>
      <c r="AH492" s="4"/>
      <c r="AI492" s="4"/>
    </row>
    <row r="493" spans="1:35" ht="24" customHeight="1" thickBot="1" x14ac:dyDescent="0.35">
      <c r="D493" s="40">
        <v>0</v>
      </c>
      <c r="E493" s="41">
        <v>0</v>
      </c>
      <c r="F493" s="41">
        <v>0</v>
      </c>
      <c r="G493" s="42">
        <v>0</v>
      </c>
      <c r="I493" s="46" cm="1">
        <f t="array" ref="I493">SUMPRODUCT(D493:G493,10^_xlfn.SEQUENCE(1,4,3,-1))</f>
        <v>0</v>
      </c>
      <c r="W493" s="49"/>
      <c r="X493" s="49"/>
      <c r="Y493" s="49"/>
      <c r="Z493" s="49"/>
      <c r="AA493" s="49"/>
      <c r="AB493" s="49"/>
      <c r="AC493" s="49"/>
      <c r="AD493" s="49"/>
      <c r="AF493" s="32"/>
      <c r="AG493" s="32"/>
      <c r="AH493" s="32"/>
      <c r="AI493" s="32"/>
    </row>
    <row r="494" spans="1:35" ht="24" customHeight="1" thickBot="1" x14ac:dyDescent="0.35">
      <c r="D494" s="40">
        <v>0</v>
      </c>
      <c r="E494" s="41">
        <v>0</v>
      </c>
      <c r="F494" s="41">
        <v>0</v>
      </c>
      <c r="G494" s="42">
        <v>0</v>
      </c>
      <c r="I494" s="46" cm="1">
        <f t="array" ref="I494">SUMPRODUCT(D494:G494,10^_xlfn.SEQUENCE(1,4,3,-1))</f>
        <v>0</v>
      </c>
      <c r="W494" s="49"/>
      <c r="X494" s="49"/>
      <c r="Y494" s="49"/>
      <c r="Z494" s="49"/>
      <c r="AA494" s="49"/>
      <c r="AB494" s="49"/>
      <c r="AC494" s="49"/>
      <c r="AD494" s="49"/>
      <c r="AF494" s="32"/>
      <c r="AG494" s="32"/>
      <c r="AH494" s="32"/>
      <c r="AI494" s="32"/>
    </row>
    <row r="495" spans="1:35" ht="24" customHeight="1" thickBot="1" x14ac:dyDescent="0.35">
      <c r="B495" t="s">
        <v>32</v>
      </c>
      <c r="C495" s="43">
        <v>1</v>
      </c>
      <c r="D495" s="40">
        <v>0</v>
      </c>
      <c r="E495" s="41">
        <v>0</v>
      </c>
      <c r="F495" s="41">
        <v>0</v>
      </c>
      <c r="G495" s="42">
        <v>0</v>
      </c>
      <c r="I495" s="46" cm="1">
        <f t="array" ref="I495">SUMPRODUCT(D495:G495,10^_xlfn.SEQUENCE(1,4,3,-1))</f>
        <v>0</v>
      </c>
      <c r="M495" t="s">
        <v>32</v>
      </c>
      <c r="N495" s="1" t="s">
        <v>144</v>
      </c>
      <c r="V495" s="43"/>
      <c r="W495" s="48"/>
      <c r="X495" s="48"/>
      <c r="Y495" s="48"/>
      <c r="Z495" s="48"/>
      <c r="AA495" s="48"/>
      <c r="AB495" s="48"/>
      <c r="AC495" s="48"/>
      <c r="AD495" s="48"/>
      <c r="AF495" s="32"/>
      <c r="AG495" s="32"/>
      <c r="AH495" s="32"/>
      <c r="AI495" s="32"/>
    </row>
    <row r="496" spans="1:35" ht="24" customHeight="1" thickBot="1" x14ac:dyDescent="0.35">
      <c r="D496" s="40">
        <v>0</v>
      </c>
      <c r="E496" s="41">
        <v>0</v>
      </c>
      <c r="F496" s="41">
        <v>0</v>
      </c>
      <c r="G496" s="42">
        <v>0</v>
      </c>
      <c r="I496" s="46" cm="1">
        <f t="array" ref="I496">SUMPRODUCT(D496:G496,10^_xlfn.SEQUENCE(1,4,3,-1))</f>
        <v>0</v>
      </c>
      <c r="W496" s="49"/>
      <c r="X496" s="49"/>
      <c r="Y496" s="49"/>
      <c r="Z496" s="49"/>
      <c r="AA496" s="49"/>
      <c r="AB496" s="49"/>
      <c r="AC496" s="49"/>
      <c r="AD496" s="49"/>
      <c r="AF496" s="32"/>
      <c r="AG496" s="32"/>
      <c r="AH496" s="32"/>
      <c r="AI496" s="32"/>
    </row>
    <row r="497" spans="2:35" ht="24" customHeight="1" thickBot="1" x14ac:dyDescent="0.35">
      <c r="D497" s="40">
        <v>0</v>
      </c>
      <c r="E497" s="41">
        <v>0</v>
      </c>
      <c r="F497" s="41">
        <v>0</v>
      </c>
      <c r="G497" s="42">
        <v>0</v>
      </c>
      <c r="I497" s="46" cm="1">
        <f t="array" ref="I497">SUMPRODUCT(D497:G497,10^_xlfn.SEQUENCE(1,4,3,-1))</f>
        <v>0</v>
      </c>
      <c r="W497" s="49"/>
      <c r="X497" s="49"/>
      <c r="Y497" s="49"/>
      <c r="Z497" s="49"/>
      <c r="AA497" s="49"/>
      <c r="AB497" s="49"/>
      <c r="AC497" s="49"/>
      <c r="AD497" s="49"/>
      <c r="AF497" s="4"/>
      <c r="AG497" s="4"/>
      <c r="AH497" s="4"/>
      <c r="AI497" s="4"/>
    </row>
    <row r="498" spans="2:35" ht="24" customHeight="1" thickBot="1" x14ac:dyDescent="0.35">
      <c r="D498" s="40">
        <v>0</v>
      </c>
      <c r="E498" s="41">
        <v>0</v>
      </c>
      <c r="F498" s="41">
        <v>0</v>
      </c>
      <c r="G498" s="42">
        <v>0</v>
      </c>
      <c r="I498" s="46" cm="1">
        <f t="array" ref="I498">SUMPRODUCT(D498:G498,10^_xlfn.SEQUENCE(1,4,3,-1))</f>
        <v>0</v>
      </c>
      <c r="W498" s="50"/>
      <c r="X498" s="50"/>
      <c r="Y498" s="50"/>
      <c r="Z498" s="50"/>
      <c r="AA498" s="50"/>
      <c r="AB498" s="50"/>
      <c r="AC498" s="50"/>
      <c r="AD498" s="50"/>
      <c r="AF498" s="5"/>
      <c r="AG498" s="5"/>
      <c r="AH498" s="5"/>
      <c r="AI498" s="5"/>
    </row>
    <row r="499" spans="2:35" ht="24" customHeight="1" thickBot="1" x14ac:dyDescent="0.35">
      <c r="B499" t="s">
        <v>29</v>
      </c>
      <c r="C499" s="43">
        <v>3</v>
      </c>
      <c r="D499" s="40"/>
      <c r="E499" s="41"/>
      <c r="F499" s="41"/>
      <c r="G499" s="42"/>
      <c r="I499" s="46" cm="1">
        <f t="array" ref="I499">SUMPRODUCT(D499:G499,10^_xlfn.SEQUENCE(1,4,3,-1))</f>
        <v>0</v>
      </c>
      <c r="K499" s="46" cm="1">
        <f t="array" ref="K499:K502">_xlfn.ANCHORARRAY(K463)</f>
        <v>125246</v>
      </c>
      <c r="M499" t="s">
        <v>29</v>
      </c>
      <c r="N499" s="1" t="s">
        <v>145</v>
      </c>
      <c r="T499" t="s">
        <v>135</v>
      </c>
      <c r="V499" s="43"/>
      <c r="W499" s="48"/>
      <c r="X499" s="48"/>
      <c r="Y499" s="48"/>
      <c r="Z499" s="48"/>
      <c r="AA499" s="48"/>
      <c r="AB499" s="48"/>
      <c r="AC499" s="48"/>
      <c r="AD499" s="48"/>
    </row>
    <row r="500" spans="2:35" ht="24" customHeight="1" thickBot="1" x14ac:dyDescent="0.35">
      <c r="D500" s="40"/>
      <c r="E500" s="41"/>
      <c r="F500" s="41"/>
      <c r="G500" s="42"/>
      <c r="I500" s="46" cm="1">
        <f t="array" ref="I500">SUMPRODUCT(D500:G500,10^_xlfn.SEQUENCE(1,4,3,-1))</f>
        <v>0</v>
      </c>
      <c r="K500" s="46">
        <v>50430</v>
      </c>
      <c r="T500" t="s">
        <v>137</v>
      </c>
      <c r="W500" s="49"/>
      <c r="X500" s="49"/>
      <c r="Y500" s="49"/>
      <c r="Z500" s="49"/>
      <c r="AA500" s="49"/>
      <c r="AB500" s="49"/>
      <c r="AC500" s="49"/>
      <c r="AD500" s="49"/>
    </row>
    <row r="501" spans="2:35" ht="24" customHeight="1" thickBot="1" x14ac:dyDescent="0.35">
      <c r="D501" s="40"/>
      <c r="E501" s="41"/>
      <c r="F501" s="41"/>
      <c r="G501" s="42"/>
      <c r="I501" s="46" cm="1">
        <f t="array" ref="I501">SUMPRODUCT(D501:G501,10^_xlfn.SEQUENCE(1,4,3,-1))</f>
        <v>0</v>
      </c>
      <c r="K501" s="46">
        <v>4330262</v>
      </c>
      <c r="W501" s="49"/>
      <c r="X501" s="49"/>
      <c r="Y501" s="49"/>
      <c r="Z501" s="49"/>
      <c r="AA501" s="49"/>
      <c r="AB501" s="49"/>
      <c r="AC501" s="49"/>
      <c r="AD501" s="49"/>
    </row>
    <row r="502" spans="2:35" ht="24" customHeight="1" thickBot="1" x14ac:dyDescent="0.35">
      <c r="D502" s="40"/>
      <c r="E502" s="41"/>
      <c r="F502" s="41"/>
      <c r="G502" s="42"/>
      <c r="I502" s="46" cm="1">
        <f t="array" ref="I502">SUMPRODUCT(D502:G502,10^_xlfn.SEQUENCE(1,4,3,-1))</f>
        <v>0</v>
      </c>
      <c r="K502" s="46">
        <v>13486</v>
      </c>
      <c r="W502" s="50"/>
      <c r="X502" s="50"/>
      <c r="Y502" s="50"/>
      <c r="Z502" s="50"/>
      <c r="AA502" s="50"/>
      <c r="AB502" s="50"/>
      <c r="AC502" s="50"/>
      <c r="AD502" s="50"/>
    </row>
    <row r="503" spans="2:35" ht="24" customHeight="1" x14ac:dyDescent="0.3">
      <c r="W503" s="49"/>
      <c r="X503" s="49"/>
      <c r="Y503" s="49"/>
      <c r="Z503" s="49"/>
      <c r="AA503" s="49"/>
      <c r="AB503" s="49"/>
      <c r="AC503" s="49"/>
      <c r="AD503" s="49"/>
    </row>
    <row r="504" spans="2:35" ht="24" customHeight="1" x14ac:dyDescent="0.3">
      <c r="W504" s="49"/>
      <c r="X504" s="49"/>
      <c r="Y504" s="49"/>
      <c r="Z504" s="49"/>
      <c r="AA504" s="49"/>
      <c r="AB504" s="49"/>
      <c r="AC504" s="49"/>
      <c r="AD504" s="49"/>
    </row>
    <row r="505" spans="2:35" ht="24" customHeight="1" x14ac:dyDescent="0.3">
      <c r="W505" s="49"/>
      <c r="X505" s="49"/>
      <c r="Y505" s="49"/>
      <c r="Z505" s="49"/>
      <c r="AA505" s="49"/>
      <c r="AB505" s="49"/>
      <c r="AC505" s="49"/>
      <c r="AD505" s="49"/>
    </row>
    <row r="506" spans="2:35" ht="24" customHeight="1" thickBot="1" x14ac:dyDescent="0.35">
      <c r="W506" s="50"/>
      <c r="X506" s="50"/>
      <c r="Y506" s="50"/>
      <c r="Z506" s="50"/>
      <c r="AA506" s="50"/>
      <c r="AB506" s="50"/>
      <c r="AC506" s="50"/>
      <c r="AD506" s="50"/>
    </row>
  </sheetData>
  <conditionalFormatting sqref="Y52:Y5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{9101B925-34D9-DD4F-B73D-326D82C05014}</x14:id>
        </ext>
      </extLst>
    </cfRule>
  </conditionalFormatting>
  <conditionalFormatting sqref="Z52:Z56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{4ABFB502-0B93-FD47-A262-5FB48B0B249C}</x14:id>
        </ext>
      </extLst>
    </cfRule>
  </conditionalFormatting>
  <conditionalFormatting sqref="AA52:AA56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{7C31BA39-7B9E-BA4E-8364-61635F2370F4}</x14:id>
        </ext>
      </extLst>
    </cfRule>
  </conditionalFormatting>
  <conditionalFormatting sqref="AB52:AB56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{6333C3D5-C2A9-C541-A9E5-DFA74E9C762B}</x14:id>
        </ext>
      </extLst>
    </cfRule>
  </conditionalFormatting>
  <conditionalFormatting sqref="AC52:AC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{2A0E1F52-5116-734D-9E51-54F3DB2A20AA}</x14:id>
        </ext>
      </extLst>
    </cfRule>
  </conditionalFormatting>
  <conditionalFormatting sqref="AE55:AI55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{A05608DF-5B3C-BC41-8FAC-C4151EA2710A}</x14:id>
        </ext>
      </extLst>
    </cfRule>
  </conditionalFormatting>
  <conditionalFormatting sqref="AE56:AI56 AE52:AI54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{7F85E1C3-344B-9745-AF69-AB35D6926F83}</x14:id>
        </ext>
      </extLst>
    </cfRule>
  </conditionalFormatting>
  <hyperlinks>
    <hyperlink ref="A37" r:id="rId1" xr:uid="{36DDD7B0-F0BD-CC4B-AD94-F1AA1236FB8E}"/>
    <hyperlink ref="A1" r:id="rId2" xr:uid="{041BB660-82D6-044E-BAC7-B4372F580A08}"/>
  </hyperlinks>
  <pageMargins left="0.7" right="0.7" top="0.75" bottom="0.75" header="0.3" footer="0.3"/>
  <pageSetup orientation="portrait" horizontalDpi="0" verticalDpi="0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01B925-34D9-DD4F-B73D-326D82C0501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Y52:Y56</xm:sqref>
        </x14:conditionalFormatting>
        <x14:conditionalFormatting xmlns:xm="http://schemas.microsoft.com/office/excel/2006/main">
          <x14:cfRule type="dataBar" id="{4ABFB502-0B93-FD47-A262-5FB48B0B249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Z52:Z56</xm:sqref>
        </x14:conditionalFormatting>
        <x14:conditionalFormatting xmlns:xm="http://schemas.microsoft.com/office/excel/2006/main">
          <x14:cfRule type="dataBar" id="{7C31BA39-7B9E-BA4E-8364-61635F2370F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AA52:AA56</xm:sqref>
        </x14:conditionalFormatting>
        <x14:conditionalFormatting xmlns:xm="http://schemas.microsoft.com/office/excel/2006/main">
          <x14:cfRule type="dataBar" id="{6333C3D5-C2A9-C541-A9E5-DFA74E9C762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AB52:AB56</xm:sqref>
        </x14:conditionalFormatting>
        <x14:conditionalFormatting xmlns:xm="http://schemas.microsoft.com/office/excel/2006/main">
          <x14:cfRule type="dataBar" id="{2A0E1F52-5116-734D-9E51-54F3DB2A20A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AC52:AC56</xm:sqref>
        </x14:conditionalFormatting>
        <x14:conditionalFormatting xmlns:xm="http://schemas.microsoft.com/office/excel/2006/main">
          <x14:cfRule type="dataBar" id="{A05608DF-5B3C-BC41-8FAC-C4151EA271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AE55:AI55</xm:sqref>
        </x14:conditionalFormatting>
        <x14:conditionalFormatting xmlns:xm="http://schemas.microsoft.com/office/excel/2006/main">
          <x14:cfRule type="dataBar" id="{7F85E1C3-344B-9745-AF69-AB35D6926F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AE56:AI56 AE52:AI54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Yeh</dc:creator>
  <cp:lastModifiedBy>Tom Yeh</cp:lastModifiedBy>
  <dcterms:created xsi:type="dcterms:W3CDTF">2025-10-10T16:05:48Z</dcterms:created>
  <dcterms:modified xsi:type="dcterms:W3CDTF">2025-10-30T14:12:53Z</dcterms:modified>
</cp:coreProperties>
</file>